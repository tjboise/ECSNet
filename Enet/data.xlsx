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filterPrivacy="1" defaultThemeVersion="124226"/>
  <xr:revisionPtr revIDLastSave="0" documentId="13_ncr:1_{A2C4D12F-5346-AF4E-A96D-842A236960F6}" xr6:coauthVersionLast="47" xr6:coauthVersionMax="47" xr10:uidLastSave="{00000000-0000-0000-0000-000000000000}"/>
  <bookViews>
    <workbookView xWindow="0" yWindow="500" windowWidth="28800" windowHeight="16520" activeTab="4" xr2:uid="{00000000-000D-0000-FFFF-FFFF00000000}"/>
  </bookViews>
  <sheets>
    <sheet name="Sheet1" sheetId="1" r:id="rId1"/>
    <sheet name="Sheet2" sheetId="2" r:id="rId2"/>
    <sheet name="Sheet4" sheetId="4" r:id="rId3"/>
    <sheet name="Sheet5 (2)" sheetId="7" r:id="rId4"/>
    <sheet name="Sheet5" sheetId="5" r:id="rId5"/>
    <sheet name="Sheet3 (2)" sheetId="6" r:id="rId6"/>
    <sheet name="Sheet3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2" l="1"/>
  <c r="I31" i="2"/>
  <c r="J31" i="2"/>
  <c r="K31" i="2"/>
  <c r="L31" i="2"/>
  <c r="M31" i="2"/>
  <c r="N31" i="2"/>
  <c r="O31" i="2"/>
  <c r="P31" i="2"/>
  <c r="Q31" i="2"/>
  <c r="R31" i="2"/>
  <c r="S31" i="2"/>
  <c r="H32" i="2"/>
  <c r="I32" i="2"/>
  <c r="J32" i="2"/>
  <c r="K32" i="2"/>
  <c r="L32" i="2"/>
  <c r="M32" i="2"/>
  <c r="N32" i="2"/>
  <c r="O32" i="2"/>
  <c r="P32" i="2"/>
  <c r="Q32" i="2"/>
  <c r="R32" i="2"/>
  <c r="S32" i="2"/>
  <c r="H33" i="2"/>
  <c r="I33" i="2"/>
  <c r="J33" i="2"/>
  <c r="K33" i="2"/>
  <c r="L33" i="2"/>
  <c r="M33" i="2"/>
  <c r="N33" i="2"/>
  <c r="O33" i="2"/>
  <c r="P33" i="2"/>
  <c r="Q33" i="2"/>
  <c r="R33" i="2"/>
  <c r="S33" i="2"/>
  <c r="H34" i="2"/>
  <c r="I34" i="2"/>
  <c r="J34" i="2"/>
  <c r="K34" i="2"/>
  <c r="L34" i="2"/>
  <c r="M34" i="2"/>
  <c r="N34" i="2"/>
  <c r="O34" i="2"/>
  <c r="P34" i="2"/>
  <c r="Q34" i="2"/>
  <c r="R34" i="2"/>
  <c r="S34" i="2"/>
  <c r="H35" i="2"/>
  <c r="I35" i="2"/>
  <c r="J35" i="2"/>
  <c r="K35" i="2"/>
  <c r="L35" i="2"/>
  <c r="M35" i="2"/>
  <c r="N35" i="2"/>
  <c r="O35" i="2"/>
  <c r="P35" i="2"/>
  <c r="Q35" i="2"/>
  <c r="R35" i="2"/>
  <c r="S35" i="2"/>
  <c r="H36" i="2"/>
  <c r="I36" i="2"/>
  <c r="J36" i="2"/>
  <c r="K36" i="2"/>
  <c r="L36" i="2"/>
  <c r="M36" i="2"/>
  <c r="N36" i="2"/>
  <c r="O36" i="2"/>
  <c r="P36" i="2"/>
  <c r="Q36" i="2"/>
  <c r="R36" i="2"/>
  <c r="S36" i="2"/>
  <c r="H37" i="2"/>
  <c r="I37" i="2"/>
  <c r="J37" i="2"/>
  <c r="K37" i="2"/>
  <c r="L37" i="2"/>
  <c r="M37" i="2"/>
  <c r="N37" i="2"/>
  <c r="O37" i="2"/>
  <c r="P37" i="2"/>
  <c r="Q37" i="2"/>
  <c r="R37" i="2"/>
  <c r="S37" i="2"/>
  <c r="S30" i="2"/>
  <c r="R30" i="2"/>
  <c r="Q30" i="2"/>
  <c r="P30" i="2"/>
  <c r="O30" i="2"/>
  <c r="N30" i="2"/>
  <c r="M30" i="2"/>
  <c r="L30" i="2"/>
  <c r="K30" i="2"/>
  <c r="I30" i="2"/>
  <c r="J30" i="2"/>
  <c r="H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G30" i="2"/>
  <c r="F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C30" i="2"/>
  <c r="B30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D19" i="1"/>
  <c r="E19" i="1"/>
  <c r="F19" i="1"/>
  <c r="G19" i="1"/>
  <c r="H19" i="1"/>
  <c r="I19" i="1"/>
  <c r="J19" i="1"/>
  <c r="K19" i="1"/>
  <c r="L19" i="1"/>
  <c r="M19" i="1"/>
  <c r="D20" i="1"/>
  <c r="E20" i="1"/>
  <c r="F20" i="1"/>
  <c r="G20" i="1"/>
  <c r="H20" i="1"/>
  <c r="I20" i="1"/>
  <c r="J20" i="1"/>
  <c r="K20" i="1"/>
  <c r="L20" i="1"/>
  <c r="M20" i="1"/>
  <c r="C19" i="1"/>
  <c r="C20" i="1"/>
  <c r="C30" i="1"/>
  <c r="C29" i="1"/>
</calcChain>
</file>

<file path=xl/sharedStrings.xml><?xml version="1.0" encoding="utf-8"?>
<sst xmlns="http://schemas.openxmlformats.org/spreadsheetml/2006/main" count="291" uniqueCount="66">
  <si>
    <t>Unet</t>
  </si>
  <si>
    <t>DeepLabv3</t>
  </si>
  <si>
    <t>LRASPP</t>
  </si>
  <si>
    <t>Training Time</t>
  </si>
  <si>
    <t>P</t>
  </si>
  <si>
    <t>R</t>
  </si>
  <si>
    <t>mPA</t>
  </si>
  <si>
    <t>mIoU</t>
  </si>
  <si>
    <t>model parameter</t>
  </si>
  <si>
    <t>FCN</t>
  </si>
  <si>
    <t>test time</t>
  </si>
  <si>
    <t>CFD</t>
  </si>
  <si>
    <t>crack500</t>
  </si>
  <si>
    <t>DeepCrack</t>
  </si>
  <si>
    <t>GAPS384</t>
  </si>
  <si>
    <t>RforF</t>
  </si>
  <si>
    <t>Volker</t>
  </si>
  <si>
    <t>test time(mean)</t>
  </si>
  <si>
    <t>test No 1</t>
  </si>
  <si>
    <t>test No 2</t>
  </si>
  <si>
    <t>Training Time/s</t>
  </si>
  <si>
    <t>PA</t>
  </si>
  <si>
    <t>IoU</t>
  </si>
  <si>
    <t>test time per image/s</t>
  </si>
  <si>
    <t>Enet（8）</t>
  </si>
  <si>
    <t>Unet（8）</t>
  </si>
  <si>
    <t xml:space="preserve">   </t>
  </si>
  <si>
    <t>Enet(16)</t>
  </si>
  <si>
    <t>Unet(16)</t>
  </si>
  <si>
    <t>Enet_crop2</t>
  </si>
  <si>
    <t>FCN-resnet50（16）</t>
  </si>
  <si>
    <t>FPS</t>
  </si>
  <si>
    <t>Enet-crop</t>
  </si>
  <si>
    <t>Enet-crop-min</t>
  </si>
  <si>
    <t>F1</t>
  </si>
  <si>
    <t>training time</t>
  </si>
  <si>
    <t>Enet-crop-min(8)</t>
  </si>
  <si>
    <t>Enet-min(16)</t>
  </si>
  <si>
    <t>test No 3</t>
  </si>
  <si>
    <t>Models</t>
  </si>
  <si>
    <t>Enet</t>
  </si>
  <si>
    <t>ESCNet</t>
  </si>
  <si>
    <t>DeepCrack-base</t>
  </si>
  <si>
    <t>ESCnet-m</t>
  </si>
  <si>
    <t>params</t>
  </si>
  <si>
    <t>Training Time2</t>
  </si>
  <si>
    <t>Training Time3</t>
  </si>
  <si>
    <t>train-avg</t>
  </si>
  <si>
    <t>p-avg</t>
  </si>
  <si>
    <t>r-avg</t>
  </si>
  <si>
    <t>PA-avg</t>
  </si>
  <si>
    <t>IoU-avg</t>
  </si>
  <si>
    <t>test-avg</t>
  </si>
  <si>
    <t>FPS-avg</t>
  </si>
  <si>
    <t>F1-avg</t>
  </si>
  <si>
    <t>params(M)</t>
  </si>
  <si>
    <t>train-std</t>
  </si>
  <si>
    <t>p-std</t>
  </si>
  <si>
    <t>r-std</t>
  </si>
  <si>
    <t>PA-std</t>
  </si>
  <si>
    <t>IoU-std</t>
  </si>
  <si>
    <t>test-std</t>
  </si>
  <si>
    <t>FPS-std</t>
  </si>
  <si>
    <t>F1-std</t>
  </si>
  <si>
    <t>param</t>
  </si>
  <si>
    <t>ECSNet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</si>
</sst>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2" fillId="2" borderId="0" xfId="0" applyFont="1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8"/>
  <sheetViews>
    <sheetView workbookViewId="0">
      <selection activeCell="AH27" sqref="AH27"/>
    </sheetView>
  </sheetViews>
  <sheetFormatPr baseColWidth="10" defaultColWidth="8.83203125" defaultRowHeight="15" x14ac:dyDescent="0.2"/>
  <cols>
    <col min="2" max="2" width="18.1640625" customWidth="1"/>
    <col min="3" max="4" width="9.1640625" bestFit="1" customWidth="1"/>
    <col min="6" max="6" width="16.5" customWidth="1"/>
    <col min="9" max="9" width="9.1640625" bestFit="1" customWidth="1"/>
    <col min="10" max="10" width="14.83203125" customWidth="1"/>
    <col min="11" max="14" width="11.5" customWidth="1"/>
    <col min="16" max="16" width="9.1640625" bestFit="1" customWidth="1"/>
    <col min="17" max="17" width="9" bestFit="1" customWidth="1"/>
    <col min="18" max="18" width="9.1640625" bestFit="1" customWidth="1"/>
    <col min="20" max="20" width="9" bestFit="1" customWidth="1"/>
    <col min="21" max="21" width="9.33203125" bestFit="1" customWidth="1"/>
    <col min="23" max="23" width="9" bestFit="1" customWidth="1"/>
    <col min="24" max="24" width="9.1640625" bestFit="1" customWidth="1"/>
    <col min="25" max="25" width="16.83203125" customWidth="1"/>
    <col min="26" max="26" width="9" bestFit="1" customWidth="1"/>
    <col min="39" max="39" width="15" customWidth="1"/>
  </cols>
  <sheetData>
    <row r="1" spans="1:40" x14ac:dyDescent="0.2">
      <c r="C1" s="9" t="s">
        <v>18</v>
      </c>
      <c r="D1" s="9"/>
      <c r="E1" s="9"/>
      <c r="F1" s="9"/>
      <c r="G1" s="9"/>
      <c r="H1" s="1"/>
      <c r="I1" s="1"/>
      <c r="J1" s="1"/>
      <c r="O1" s="9" t="s">
        <v>19</v>
      </c>
      <c r="P1" s="9"/>
      <c r="Q1" s="9"/>
      <c r="R1" s="9"/>
      <c r="S1" s="9"/>
      <c r="AC1" s="9" t="s">
        <v>38</v>
      </c>
      <c r="AD1" s="9"/>
      <c r="AE1" s="9"/>
      <c r="AF1" s="9"/>
      <c r="AG1" s="9"/>
    </row>
    <row r="2" spans="1:40" x14ac:dyDescent="0.2">
      <c r="C2" t="s">
        <v>25</v>
      </c>
      <c r="D2" s="6" t="s">
        <v>1</v>
      </c>
      <c r="E2" s="6" t="s">
        <v>2</v>
      </c>
      <c r="F2" s="6" t="s">
        <v>30</v>
      </c>
      <c r="G2" t="s">
        <v>24</v>
      </c>
      <c r="H2" s="5" t="s">
        <v>27</v>
      </c>
      <c r="I2" t="s">
        <v>28</v>
      </c>
      <c r="J2" t="s">
        <v>32</v>
      </c>
      <c r="K2" s="6" t="s">
        <v>29</v>
      </c>
      <c r="L2" s="5" t="s">
        <v>13</v>
      </c>
      <c r="M2" t="s">
        <v>33</v>
      </c>
      <c r="O2" t="s">
        <v>25</v>
      </c>
      <c r="P2" s="6" t="s">
        <v>1</v>
      </c>
      <c r="Q2" s="6" t="s">
        <v>2</v>
      </c>
      <c r="R2" s="6" t="s">
        <v>30</v>
      </c>
      <c r="S2" t="s">
        <v>24</v>
      </c>
      <c r="T2" s="5" t="s">
        <v>27</v>
      </c>
      <c r="U2" t="s">
        <v>28</v>
      </c>
      <c r="V2" t="s">
        <v>32</v>
      </c>
      <c r="W2" s="6" t="s">
        <v>29</v>
      </c>
      <c r="X2" s="5" t="s">
        <v>13</v>
      </c>
      <c r="Y2" t="s">
        <v>36</v>
      </c>
      <c r="Z2" t="s">
        <v>37</v>
      </c>
      <c r="AC2" t="s">
        <v>25</v>
      </c>
      <c r="AD2" s="6" t="s">
        <v>1</v>
      </c>
      <c r="AE2" s="6" t="s">
        <v>2</v>
      </c>
      <c r="AF2" s="6" t="s">
        <v>30</v>
      </c>
      <c r="AG2" t="s">
        <v>24</v>
      </c>
      <c r="AH2" s="5" t="s">
        <v>27</v>
      </c>
      <c r="AI2" t="s">
        <v>28</v>
      </c>
      <c r="AJ2" t="s">
        <v>32</v>
      </c>
      <c r="AK2" s="6" t="s">
        <v>29</v>
      </c>
      <c r="AL2" s="5" t="s">
        <v>13</v>
      </c>
      <c r="AM2" t="s">
        <v>36</v>
      </c>
      <c r="AN2" t="s">
        <v>37</v>
      </c>
    </row>
    <row r="6" spans="1:40" x14ac:dyDescent="0.2">
      <c r="A6" s="9" t="s">
        <v>11</v>
      </c>
      <c r="B6" t="s">
        <v>4</v>
      </c>
    </row>
    <row r="7" spans="1:40" x14ac:dyDescent="0.2">
      <c r="A7" s="9"/>
      <c r="B7" t="s">
        <v>5</v>
      </c>
    </row>
    <row r="8" spans="1:40" x14ac:dyDescent="0.2">
      <c r="A8" s="9"/>
      <c r="B8" t="s">
        <v>6</v>
      </c>
    </row>
    <row r="9" spans="1:40" x14ac:dyDescent="0.2">
      <c r="A9" s="9"/>
      <c r="B9" t="s">
        <v>7</v>
      </c>
      <c r="E9" t="s">
        <v>26</v>
      </c>
    </row>
    <row r="10" spans="1:40" x14ac:dyDescent="0.2">
      <c r="A10" s="9"/>
      <c r="B10" t="s">
        <v>17</v>
      </c>
    </row>
    <row r="12" spans="1:40" x14ac:dyDescent="0.2">
      <c r="B12" t="s">
        <v>8</v>
      </c>
      <c r="H12" s="4"/>
    </row>
    <row r="13" spans="1:40" x14ac:dyDescent="0.2">
      <c r="B13" t="s">
        <v>35</v>
      </c>
      <c r="H13" s="4"/>
    </row>
    <row r="14" spans="1:40" x14ac:dyDescent="0.2">
      <c r="A14" s="8" t="s">
        <v>12</v>
      </c>
      <c r="B14" s="2" t="s">
        <v>4</v>
      </c>
      <c r="H14" s="4"/>
    </row>
    <row r="15" spans="1:40" x14ac:dyDescent="0.2">
      <c r="A15" s="8"/>
      <c r="B15" s="2" t="s">
        <v>5</v>
      </c>
      <c r="H15" s="4"/>
    </row>
    <row r="16" spans="1:40" x14ac:dyDescent="0.2">
      <c r="A16" s="8"/>
      <c r="B16" s="2" t="s">
        <v>21</v>
      </c>
      <c r="H16" s="4"/>
    </row>
    <row r="17" spans="1:42" x14ac:dyDescent="0.2">
      <c r="A17" s="8"/>
      <c r="B17" s="2" t="s">
        <v>22</v>
      </c>
      <c r="H17" s="4"/>
    </row>
    <row r="18" spans="1:42" x14ac:dyDescent="0.2">
      <c r="A18" s="8"/>
      <c r="B18" t="s">
        <v>10</v>
      </c>
      <c r="H18" s="4"/>
    </row>
    <row r="19" spans="1:42" x14ac:dyDescent="0.2">
      <c r="A19" s="3"/>
      <c r="B19" t="s">
        <v>31</v>
      </c>
      <c r="C19" s="4" t="e">
        <f t="shared" ref="C19" si="0">1/C18</f>
        <v>#DIV/0!</v>
      </c>
      <c r="D19" s="4" t="e">
        <f t="shared" ref="D19" si="1">1/D18</f>
        <v>#DIV/0!</v>
      </c>
      <c r="E19" s="4" t="e">
        <f t="shared" ref="E19" si="2">1/E18</f>
        <v>#DIV/0!</v>
      </c>
      <c r="F19" s="4" t="e">
        <f t="shared" ref="F19" si="3">1/F18</f>
        <v>#DIV/0!</v>
      </c>
      <c r="G19" s="4" t="e">
        <f t="shared" ref="G19" si="4">1/G18</f>
        <v>#DIV/0!</v>
      </c>
      <c r="H19" s="4" t="e">
        <f t="shared" ref="H19" si="5">1/H18</f>
        <v>#DIV/0!</v>
      </c>
      <c r="I19" s="4" t="e">
        <f t="shared" ref="I19" si="6">1/I18</f>
        <v>#DIV/0!</v>
      </c>
      <c r="J19" s="4" t="e">
        <f t="shared" ref="J19" si="7">1/J18</f>
        <v>#DIV/0!</v>
      </c>
      <c r="K19" s="4" t="e">
        <f t="shared" ref="K19" si="8">1/K18</f>
        <v>#DIV/0!</v>
      </c>
      <c r="L19" s="4" t="e">
        <f t="shared" ref="L19" si="9">1/L18</f>
        <v>#DIV/0!</v>
      </c>
      <c r="M19" s="4" t="e">
        <f t="shared" ref="M19" si="10">1/M18</f>
        <v>#DIV/0!</v>
      </c>
    </row>
    <row r="20" spans="1:42" x14ac:dyDescent="0.2">
      <c r="A20" s="3"/>
      <c r="B20" t="s">
        <v>34</v>
      </c>
      <c r="C20" s="4" t="e">
        <f t="shared" ref="C20" si="11">2*(C14*C15)/(C14+C15)</f>
        <v>#DIV/0!</v>
      </c>
      <c r="D20" s="4" t="e">
        <f t="shared" ref="D20:M20" si="12">2*(D14*D15)/(D14+D15)</f>
        <v>#DIV/0!</v>
      </c>
      <c r="E20" s="4" t="e">
        <f t="shared" si="12"/>
        <v>#DIV/0!</v>
      </c>
      <c r="F20" s="4" t="e">
        <f t="shared" si="12"/>
        <v>#DIV/0!</v>
      </c>
      <c r="G20" s="4" t="e">
        <f t="shared" si="12"/>
        <v>#DIV/0!</v>
      </c>
      <c r="H20" s="4" t="e">
        <f t="shared" si="12"/>
        <v>#DIV/0!</v>
      </c>
      <c r="I20" s="4" t="e">
        <f t="shared" si="12"/>
        <v>#DIV/0!</v>
      </c>
      <c r="J20" s="4" t="e">
        <f t="shared" si="12"/>
        <v>#DIV/0!</v>
      </c>
      <c r="K20" s="4" t="e">
        <f t="shared" si="12"/>
        <v>#DIV/0!</v>
      </c>
      <c r="L20" s="4" t="e">
        <f t="shared" si="12"/>
        <v>#DIV/0!</v>
      </c>
      <c r="M20" s="4" t="e">
        <f t="shared" si="12"/>
        <v>#DIV/0!</v>
      </c>
    </row>
    <row r="22" spans="1:42" x14ac:dyDescent="0.2">
      <c r="B22" t="s">
        <v>20</v>
      </c>
      <c r="C22" s="4">
        <v>15177.566999999999</v>
      </c>
      <c r="D22" s="4">
        <v>16234.273999999999</v>
      </c>
      <c r="E22" s="4">
        <v>3032.03</v>
      </c>
      <c r="F22" s="4">
        <v>12273.1</v>
      </c>
      <c r="G22" s="4">
        <v>9378.5</v>
      </c>
      <c r="H22" s="4">
        <v>6346.3249999999998</v>
      </c>
      <c r="I22" s="4">
        <v>14550.816699999999</v>
      </c>
      <c r="J22" s="4">
        <v>5035.9549999999999</v>
      </c>
      <c r="K22" s="4">
        <v>5096.1018999999997</v>
      </c>
      <c r="L22" s="4">
        <v>105699.01</v>
      </c>
      <c r="M22" s="4">
        <v>3627.4868999999999</v>
      </c>
      <c r="P22" s="4">
        <v>16254.535397</v>
      </c>
      <c r="Q22" s="4">
        <v>3264.9805500000002</v>
      </c>
      <c r="R22" s="4">
        <v>12364.896309</v>
      </c>
      <c r="S22" s="4"/>
      <c r="T22" s="4">
        <v>7082.8</v>
      </c>
      <c r="U22" s="4">
        <v>14599.9617</v>
      </c>
      <c r="V22" s="4"/>
      <c r="W22" s="4">
        <v>5130.2103900000002</v>
      </c>
      <c r="X22" s="4">
        <v>110261.06581</v>
      </c>
      <c r="Y22" s="4">
        <v>5078.0180700000001</v>
      </c>
      <c r="Z22" s="4">
        <v>3795.9449</v>
      </c>
      <c r="AD22" s="4">
        <v>16244.273999999999</v>
      </c>
      <c r="AE22">
        <v>2813.3399979999999</v>
      </c>
      <c r="AF22">
        <v>12237.431791999999</v>
      </c>
      <c r="AH22">
        <v>6053.8647700000001</v>
      </c>
      <c r="AI22">
        <v>14530.9465</v>
      </c>
      <c r="AK22">
        <v>4807.3312900000001</v>
      </c>
      <c r="AL22">
        <v>110942.99787000001</v>
      </c>
      <c r="AN22">
        <v>3380.8708999999999</v>
      </c>
    </row>
    <row r="23" spans="1:42" x14ac:dyDescent="0.2">
      <c r="B23" t="s">
        <v>8</v>
      </c>
      <c r="C23" s="4">
        <v>13394177</v>
      </c>
      <c r="D23" s="4">
        <v>39627457</v>
      </c>
      <c r="E23" s="4">
        <v>3217850</v>
      </c>
      <c r="F23" s="4">
        <v>32946753</v>
      </c>
      <c r="G23" s="4">
        <v>355538</v>
      </c>
      <c r="H23" s="4">
        <v>355538</v>
      </c>
      <c r="I23" s="4">
        <v>13394177</v>
      </c>
      <c r="J23" s="4">
        <v>369139</v>
      </c>
      <c r="K23" s="4">
        <v>409363</v>
      </c>
      <c r="L23" s="4">
        <v>30903859</v>
      </c>
      <c r="M23" s="4">
        <v>409255</v>
      </c>
      <c r="P23" s="4">
        <v>39627457</v>
      </c>
      <c r="Q23" s="4">
        <v>3217850</v>
      </c>
      <c r="R23" s="4">
        <v>32940481</v>
      </c>
      <c r="S23" s="4"/>
      <c r="T23" s="4">
        <v>355538</v>
      </c>
      <c r="U23" s="4">
        <v>13394177</v>
      </c>
      <c r="V23" s="4"/>
      <c r="W23" s="4">
        <v>409363</v>
      </c>
      <c r="X23" s="4">
        <v>30903859</v>
      </c>
      <c r="Y23" s="4">
        <v>409255</v>
      </c>
      <c r="Z23" s="4">
        <v>409255</v>
      </c>
      <c r="AD23" s="4">
        <v>39627457</v>
      </c>
      <c r="AE23">
        <v>3217850</v>
      </c>
      <c r="AF23">
        <v>32940481</v>
      </c>
      <c r="AH23">
        <v>355538</v>
      </c>
      <c r="AI23">
        <v>13394177</v>
      </c>
      <c r="AK23">
        <v>409363</v>
      </c>
      <c r="AL23">
        <v>30903859</v>
      </c>
      <c r="AN23">
        <v>409255</v>
      </c>
    </row>
    <row r="24" spans="1:42" x14ac:dyDescent="0.2">
      <c r="A24" s="8" t="s">
        <v>13</v>
      </c>
      <c r="B24" s="2" t="s">
        <v>4</v>
      </c>
      <c r="C24" s="4">
        <v>0.93</v>
      </c>
      <c r="D24" s="4">
        <v>94.26</v>
      </c>
      <c r="E24" s="4">
        <v>91.41</v>
      </c>
      <c r="F24" s="4">
        <v>92.03</v>
      </c>
      <c r="G24" s="4">
        <v>94.32</v>
      </c>
      <c r="H24" s="5">
        <v>94.35</v>
      </c>
      <c r="I24" s="4">
        <v>92.44</v>
      </c>
      <c r="J24" s="4">
        <v>93.29</v>
      </c>
      <c r="K24" s="4">
        <v>0.91620000000000001</v>
      </c>
      <c r="L24" s="4">
        <v>91.01</v>
      </c>
      <c r="M24" s="4">
        <v>94.27</v>
      </c>
      <c r="P24" s="4">
        <v>91.33</v>
      </c>
      <c r="Q24" s="4">
        <v>91.48</v>
      </c>
      <c r="R24" s="4">
        <v>91.55</v>
      </c>
      <c r="S24" s="4"/>
      <c r="T24" s="4">
        <v>91.9</v>
      </c>
      <c r="U24" s="4">
        <v>91.62</v>
      </c>
      <c r="V24" s="4"/>
      <c r="W24" s="4">
        <v>91.89</v>
      </c>
      <c r="X24" s="4">
        <v>91.57</v>
      </c>
      <c r="Y24" s="4">
        <v>92.54</v>
      </c>
      <c r="Z24" s="4">
        <v>92.54</v>
      </c>
      <c r="AD24">
        <v>91.78</v>
      </c>
      <c r="AE24">
        <v>91.98</v>
      </c>
      <c r="AF24">
        <v>92.74</v>
      </c>
      <c r="AH24">
        <v>92.96</v>
      </c>
      <c r="AI24">
        <v>91.54</v>
      </c>
      <c r="AK24">
        <v>92.98</v>
      </c>
      <c r="AL24">
        <v>91.32</v>
      </c>
      <c r="AN24">
        <v>93.12</v>
      </c>
    </row>
    <row r="25" spans="1:42" x14ac:dyDescent="0.2">
      <c r="A25" s="8"/>
      <c r="B25" s="2" t="s">
        <v>5</v>
      </c>
      <c r="C25" s="4">
        <v>0.77</v>
      </c>
      <c r="D25" s="4">
        <v>74.23</v>
      </c>
      <c r="E25" s="4">
        <v>75.86</v>
      </c>
      <c r="F25" s="4">
        <v>77.28</v>
      </c>
      <c r="G25" s="4">
        <v>72.510000000000005</v>
      </c>
      <c r="H25" s="4">
        <v>75.81</v>
      </c>
      <c r="I25" s="4">
        <v>76.849999999999994</v>
      </c>
      <c r="J25" s="4">
        <v>76.010000000000005</v>
      </c>
      <c r="K25" s="5">
        <v>0.78359999999999996</v>
      </c>
      <c r="L25" s="4">
        <v>82.28</v>
      </c>
      <c r="M25" s="4">
        <v>71.760000000000005</v>
      </c>
      <c r="P25" s="4">
        <v>78.47</v>
      </c>
      <c r="Q25" s="4">
        <v>75.05</v>
      </c>
      <c r="R25" s="4">
        <v>77.72</v>
      </c>
      <c r="S25" s="4"/>
      <c r="T25" s="4">
        <v>80.67</v>
      </c>
      <c r="U25" s="4">
        <v>78.52</v>
      </c>
      <c r="V25" s="4"/>
      <c r="W25" s="4">
        <v>78.239999999999995</v>
      </c>
      <c r="X25" s="4">
        <v>79.37</v>
      </c>
      <c r="Y25" s="4">
        <v>75.489999999999995</v>
      </c>
      <c r="Z25" s="4">
        <v>75.489999999999995</v>
      </c>
      <c r="AD25">
        <v>77.489999999999995</v>
      </c>
      <c r="AE25">
        <v>75.150000000000006</v>
      </c>
      <c r="AF25">
        <v>78.099999999999994</v>
      </c>
      <c r="AH25">
        <v>74.88</v>
      </c>
      <c r="AI25">
        <v>80.459999999999994</v>
      </c>
      <c r="AK25">
        <v>77.19</v>
      </c>
      <c r="AL25">
        <v>81.349999999999994</v>
      </c>
      <c r="AN25">
        <v>73.069999999999993</v>
      </c>
    </row>
    <row r="26" spans="1:42" x14ac:dyDescent="0.2">
      <c r="A26" s="8"/>
      <c r="B26" s="2" t="s">
        <v>21</v>
      </c>
      <c r="C26" s="4">
        <v>0.77</v>
      </c>
      <c r="D26" s="4">
        <v>74.23</v>
      </c>
      <c r="E26" s="4">
        <v>75.86</v>
      </c>
      <c r="F26" s="4">
        <v>77.28</v>
      </c>
      <c r="G26" s="4">
        <v>72.510000000000005</v>
      </c>
      <c r="H26" s="4">
        <v>75.81</v>
      </c>
      <c r="I26" s="4">
        <v>76.849999999999994</v>
      </c>
      <c r="J26" s="4">
        <v>76.010000000000005</v>
      </c>
      <c r="K26" s="5">
        <v>0.78359999999999996</v>
      </c>
      <c r="L26" s="4">
        <v>82.28</v>
      </c>
      <c r="M26" s="4">
        <v>71.760000000000005</v>
      </c>
      <c r="P26" s="4">
        <v>78.47</v>
      </c>
      <c r="Q26" s="4">
        <v>75.05</v>
      </c>
      <c r="R26" s="4">
        <v>77.72</v>
      </c>
      <c r="S26" s="4"/>
      <c r="T26" s="4">
        <v>80.67</v>
      </c>
      <c r="U26" s="4">
        <v>78.52</v>
      </c>
      <c r="V26" s="4"/>
      <c r="W26" s="4">
        <v>78.239999999999995</v>
      </c>
      <c r="X26" s="4">
        <v>79.37</v>
      </c>
      <c r="Y26" s="4">
        <v>75.489999999999995</v>
      </c>
      <c r="Z26" s="4">
        <v>75.489999999999995</v>
      </c>
      <c r="AD26">
        <v>77.489999999999995</v>
      </c>
      <c r="AE26">
        <v>75.150000000000006</v>
      </c>
      <c r="AF26">
        <v>78.099999999999994</v>
      </c>
      <c r="AH26">
        <v>74.88</v>
      </c>
      <c r="AI26">
        <v>80.459999999999994</v>
      </c>
      <c r="AK26">
        <v>77.19</v>
      </c>
      <c r="AL26">
        <v>81.349999999999994</v>
      </c>
      <c r="AN26">
        <v>73.069999999999993</v>
      </c>
    </row>
    <row r="27" spans="1:42" x14ac:dyDescent="0.2">
      <c r="A27" s="8"/>
      <c r="B27" s="2" t="s">
        <v>22</v>
      </c>
      <c r="C27" s="4">
        <v>0.73</v>
      </c>
      <c r="D27" s="4">
        <v>71.02</v>
      </c>
      <c r="E27" s="4">
        <v>70.819999999999993</v>
      </c>
      <c r="F27" s="4">
        <v>72.44</v>
      </c>
      <c r="G27" s="4">
        <v>69.48</v>
      </c>
      <c r="H27" s="4">
        <v>72.510000000000005</v>
      </c>
      <c r="I27" s="4">
        <v>72.3</v>
      </c>
      <c r="J27" s="4">
        <v>72.069999999999993</v>
      </c>
      <c r="K27" s="4">
        <v>0.73119999999999996</v>
      </c>
      <c r="L27" s="5">
        <v>76.099999999999994</v>
      </c>
      <c r="M27" s="4">
        <v>68.760000000000005</v>
      </c>
      <c r="P27" s="4">
        <v>73.040000000000006</v>
      </c>
      <c r="Q27" s="4">
        <v>70.150000000000006</v>
      </c>
      <c r="R27" s="4">
        <v>72.52</v>
      </c>
      <c r="S27" s="4"/>
      <c r="T27" s="4">
        <v>75.319999999999993</v>
      </c>
      <c r="U27" s="4">
        <v>73.260000000000005</v>
      </c>
      <c r="V27" s="4"/>
      <c r="W27" s="4">
        <v>73.180000000000007</v>
      </c>
      <c r="X27" s="4">
        <v>73.97</v>
      </c>
      <c r="Y27" s="4">
        <v>71.16</v>
      </c>
      <c r="Z27" s="4">
        <v>71.16</v>
      </c>
      <c r="AD27">
        <v>72.459999999999994</v>
      </c>
      <c r="AE27">
        <v>70.53</v>
      </c>
      <c r="AF27">
        <v>73.61</v>
      </c>
      <c r="AH27">
        <v>70.86</v>
      </c>
      <c r="AI27">
        <v>74.89</v>
      </c>
      <c r="AK27">
        <v>72.94</v>
      </c>
      <c r="AL27">
        <v>75.510000000000005</v>
      </c>
      <c r="AN27">
        <v>69.33</v>
      </c>
    </row>
    <row r="28" spans="1:42" x14ac:dyDescent="0.2">
      <c r="A28" s="8"/>
      <c r="B28" s="2" t="s">
        <v>23</v>
      </c>
      <c r="C28" s="4">
        <v>1.5599999999999999E-2</v>
      </c>
      <c r="D28" s="4">
        <v>2.3199999999999998E-2</v>
      </c>
      <c r="E28" s="4">
        <v>1.7399999999999999E-2</v>
      </c>
      <c r="F28" s="4">
        <v>2.07E-2</v>
      </c>
      <c r="G28" s="4">
        <v>1.934E-2</v>
      </c>
      <c r="H28" s="4">
        <v>1.8049889999999999E-2</v>
      </c>
      <c r="I28" s="4">
        <v>1.5599999999999999E-2</v>
      </c>
      <c r="J28" s="4">
        <v>1.461113E-2</v>
      </c>
      <c r="K28" s="4">
        <v>1.4153000000000001E-2</v>
      </c>
      <c r="L28" s="4">
        <v>3.5099999999999999E-2</v>
      </c>
      <c r="M28" s="4">
        <v>1.38E-2</v>
      </c>
      <c r="P28" s="4">
        <v>2.2211700000000001E-2</v>
      </c>
      <c r="Q28" s="4">
        <v>1.643E-2</v>
      </c>
      <c r="R28" s="4">
        <v>2.0902E-2</v>
      </c>
      <c r="S28" s="4"/>
      <c r="T28" s="4">
        <v>1.8360999999999999E-2</v>
      </c>
      <c r="U28" s="7">
        <v>8.8900000000000003E-3</v>
      </c>
      <c r="V28" s="4"/>
      <c r="W28" s="4">
        <v>1.3851E-2</v>
      </c>
      <c r="X28" s="4">
        <v>3.3511899999999997E-2</v>
      </c>
      <c r="Y28" s="4">
        <v>1.3275199999999999E-2</v>
      </c>
      <c r="Z28" s="4">
        <v>1.3275199999999999E-2</v>
      </c>
      <c r="AD28">
        <v>2.2509319999999999E-2</v>
      </c>
      <c r="AE28">
        <v>1.5720700000000001E-2</v>
      </c>
      <c r="AF28">
        <v>1.9502576000000001E-2</v>
      </c>
      <c r="AH28">
        <v>1.7133372000000001E-2</v>
      </c>
      <c r="AI28">
        <v>1.5244300000000001E-2</v>
      </c>
      <c r="AK28">
        <v>1.2982E-2</v>
      </c>
      <c r="AL28">
        <v>3.3183878999999999E-2</v>
      </c>
      <c r="AN28">
        <v>1.250071E-2</v>
      </c>
    </row>
    <row r="29" spans="1:42" x14ac:dyDescent="0.2">
      <c r="A29" s="3"/>
      <c r="B29" s="2" t="s">
        <v>31</v>
      </c>
      <c r="C29" s="4">
        <f>1/C28</f>
        <v>64.102564102564102</v>
      </c>
      <c r="D29" s="4">
        <f t="shared" ref="D29:Z29" si="13">1/D28</f>
        <v>43.103448275862071</v>
      </c>
      <c r="E29" s="4">
        <f t="shared" si="13"/>
        <v>57.471264367816097</v>
      </c>
      <c r="F29" s="4">
        <f t="shared" si="13"/>
        <v>48.309178743961354</v>
      </c>
      <c r="G29" s="4">
        <f t="shared" si="13"/>
        <v>51.706308169596689</v>
      </c>
      <c r="H29" s="4">
        <f t="shared" si="13"/>
        <v>55.401999679776445</v>
      </c>
      <c r="I29" s="4">
        <f t="shared" si="13"/>
        <v>64.102564102564102</v>
      </c>
      <c r="J29" s="4">
        <f t="shared" si="13"/>
        <v>68.440976159954772</v>
      </c>
      <c r="K29" s="4">
        <f t="shared" si="13"/>
        <v>70.656397936833173</v>
      </c>
      <c r="L29" s="4">
        <f t="shared" si="13"/>
        <v>28.490028490028489</v>
      </c>
      <c r="M29" s="4">
        <f t="shared" si="13"/>
        <v>72.463768115942031</v>
      </c>
      <c r="N29" s="4" t="e">
        <f t="shared" si="13"/>
        <v>#DIV/0!</v>
      </c>
      <c r="O29" s="4" t="e">
        <f t="shared" si="13"/>
        <v>#DIV/0!</v>
      </c>
      <c r="P29" s="4">
        <f t="shared" si="13"/>
        <v>45.021317593880703</v>
      </c>
      <c r="Q29" s="4">
        <f t="shared" si="13"/>
        <v>60.864272671941571</v>
      </c>
      <c r="R29" s="4">
        <f t="shared" si="13"/>
        <v>47.842311740503298</v>
      </c>
      <c r="S29" s="4" t="e">
        <f t="shared" si="13"/>
        <v>#DIV/0!</v>
      </c>
      <c r="T29" s="4">
        <f t="shared" si="13"/>
        <v>54.463264528075818</v>
      </c>
      <c r="U29" s="4">
        <f t="shared" si="13"/>
        <v>112.48593925759279</v>
      </c>
      <c r="V29" s="4" t="e">
        <f t="shared" si="13"/>
        <v>#DIV/0!</v>
      </c>
      <c r="W29" s="4">
        <f t="shared" si="13"/>
        <v>72.196953288571223</v>
      </c>
      <c r="X29" s="4">
        <f t="shared" si="13"/>
        <v>29.840146336077634</v>
      </c>
      <c r="Y29" s="4">
        <f t="shared" si="13"/>
        <v>75.328431963360259</v>
      </c>
      <c r="Z29" s="4">
        <f t="shared" si="13"/>
        <v>75.328431963360259</v>
      </c>
      <c r="AA29" s="4" t="e">
        <f t="shared" ref="AA29" si="14">1/AA28</f>
        <v>#DIV/0!</v>
      </c>
      <c r="AB29" s="4" t="e">
        <f t="shared" ref="AB29" si="15">1/AB28</f>
        <v>#DIV/0!</v>
      </c>
      <c r="AC29" s="4" t="e">
        <f t="shared" ref="AC29" si="16">1/AC28</f>
        <v>#DIV/0!</v>
      </c>
      <c r="AD29" s="4">
        <f t="shared" ref="AD29" si="17">1/AD28</f>
        <v>44.426042190523752</v>
      </c>
      <c r="AE29" s="4">
        <f t="shared" ref="AE29" si="18">1/AE28</f>
        <v>63.6103990280331</v>
      </c>
      <c r="AF29" s="4">
        <f t="shared" ref="AF29" si="19">1/AF28</f>
        <v>51.275277686393835</v>
      </c>
      <c r="AG29" s="4" t="e">
        <f t="shared" ref="AG29" si="20">1/AG28</f>
        <v>#DIV/0!</v>
      </c>
      <c r="AH29" s="4">
        <f t="shared" ref="AH29" si="21">1/AH28</f>
        <v>58.36562703477167</v>
      </c>
      <c r="AI29" s="4">
        <f t="shared" ref="AI29" si="22">1/AI28</f>
        <v>65.598289196617756</v>
      </c>
      <c r="AJ29" s="4" t="e">
        <f t="shared" ref="AJ29" si="23">1/AJ28</f>
        <v>#DIV/0!</v>
      </c>
      <c r="AK29" s="4">
        <f t="shared" ref="AK29" si="24">1/AK28</f>
        <v>77.029733477122164</v>
      </c>
      <c r="AL29" s="4">
        <f t="shared" ref="AL29" si="25">1/AL28</f>
        <v>30.135114704341827</v>
      </c>
      <c r="AM29" s="4" t="e">
        <f t="shared" ref="AM29" si="26">1/AM28</f>
        <v>#DIV/0!</v>
      </c>
      <c r="AN29" s="4">
        <f t="shared" ref="AN29" si="27">1/AN28</f>
        <v>79.995456258084545</v>
      </c>
      <c r="AO29" s="4" t="e">
        <f t="shared" ref="AO29" si="28">1/AO28</f>
        <v>#DIV/0!</v>
      </c>
      <c r="AP29" s="4" t="e">
        <f t="shared" ref="AP29" si="29">1/AP28</f>
        <v>#DIV/0!</v>
      </c>
    </row>
    <row r="30" spans="1:42" x14ac:dyDescent="0.2">
      <c r="A30" s="3"/>
      <c r="B30" s="2" t="s">
        <v>34</v>
      </c>
      <c r="C30" s="4">
        <f>2*(C24*C25)/(C24+C25)</f>
        <v>0.84247058823529408</v>
      </c>
      <c r="D30" s="4">
        <f t="shared" ref="D30:Z30" si="30">2*(D24*D25)/(D24+D25)</f>
        <v>83.054422220903319</v>
      </c>
      <c r="E30" s="4">
        <f t="shared" si="30"/>
        <v>82.912209003407668</v>
      </c>
      <c r="F30" s="4">
        <f t="shared" si="30"/>
        <v>84.012502510188412</v>
      </c>
      <c r="G30" s="4">
        <f t="shared" si="30"/>
        <v>81.989368818557821</v>
      </c>
      <c r="H30" s="4">
        <f t="shared" si="30"/>
        <v>84.06997531734838</v>
      </c>
      <c r="I30" s="4">
        <f t="shared" si="30"/>
        <v>83.927154586803709</v>
      </c>
      <c r="J30" s="4">
        <f t="shared" si="30"/>
        <v>83.768138216184298</v>
      </c>
      <c r="K30" s="4">
        <f t="shared" si="30"/>
        <v>0.84472799152841516</v>
      </c>
      <c r="L30" s="4">
        <f t="shared" si="30"/>
        <v>86.42510012118413</v>
      </c>
      <c r="M30" s="4">
        <f t="shared" si="30"/>
        <v>81.489070649882549</v>
      </c>
      <c r="N30" s="4" t="e">
        <f t="shared" si="30"/>
        <v>#DIV/0!</v>
      </c>
      <c r="O30" s="4" t="e">
        <f t="shared" si="30"/>
        <v>#DIV/0!</v>
      </c>
      <c r="P30" s="4">
        <f t="shared" si="30"/>
        <v>84.413016489988223</v>
      </c>
      <c r="Q30" s="4">
        <f t="shared" si="30"/>
        <v>82.454500690566263</v>
      </c>
      <c r="R30" s="4">
        <f t="shared" si="30"/>
        <v>84.070018313936316</v>
      </c>
      <c r="S30" s="4" t="e">
        <f t="shared" si="30"/>
        <v>#DIV/0!</v>
      </c>
      <c r="T30" s="4">
        <f t="shared" si="30"/>
        <v>85.919603639102974</v>
      </c>
      <c r="U30" s="4">
        <f t="shared" si="30"/>
        <v>84.565680028212071</v>
      </c>
      <c r="V30" s="4" t="e">
        <f t="shared" si="30"/>
        <v>#DIV/0!</v>
      </c>
      <c r="W30" s="4">
        <f t="shared" si="30"/>
        <v>84.517411391289002</v>
      </c>
      <c r="X30" s="4">
        <f t="shared" si="30"/>
        <v>85.034642564642567</v>
      </c>
      <c r="Y30" s="4">
        <f t="shared" si="30"/>
        <v>83.149968458013447</v>
      </c>
      <c r="Z30" s="4">
        <f t="shared" si="30"/>
        <v>83.149968458013447</v>
      </c>
      <c r="AA30" s="4" t="e">
        <f t="shared" ref="AA30:AP30" si="31">2*(AA24*AA25)/(AA24+AA25)</f>
        <v>#DIV/0!</v>
      </c>
      <c r="AB30" s="4" t="e">
        <f t="shared" si="31"/>
        <v>#DIV/0!</v>
      </c>
      <c r="AC30" s="4" t="e">
        <f t="shared" si="31"/>
        <v>#DIV/0!</v>
      </c>
      <c r="AD30" s="4">
        <f t="shared" si="31"/>
        <v>84.031809535062337</v>
      </c>
      <c r="AE30" s="4">
        <f t="shared" si="31"/>
        <v>82.717609046849759</v>
      </c>
      <c r="AF30" s="4">
        <f t="shared" si="31"/>
        <v>84.792718332943096</v>
      </c>
      <c r="AG30" s="4" t="e">
        <f t="shared" si="31"/>
        <v>#DIV/0!</v>
      </c>
      <c r="AH30" s="4">
        <f t="shared" si="31"/>
        <v>82.946196377502389</v>
      </c>
      <c r="AI30" s="4">
        <f t="shared" si="31"/>
        <v>85.643120930232556</v>
      </c>
      <c r="AJ30" s="4" t="e">
        <f t="shared" si="31"/>
        <v>#DIV/0!</v>
      </c>
      <c r="AK30" s="4">
        <f t="shared" si="31"/>
        <v>84.352426397132263</v>
      </c>
      <c r="AL30" s="4">
        <f t="shared" si="31"/>
        <v>86.047165112642602</v>
      </c>
      <c r="AM30" s="4" t="e">
        <f t="shared" si="31"/>
        <v>#DIV/0!</v>
      </c>
      <c r="AN30" s="4">
        <f t="shared" si="31"/>
        <v>81.885533425597217</v>
      </c>
      <c r="AO30" s="4" t="e">
        <f t="shared" si="31"/>
        <v>#DIV/0!</v>
      </c>
      <c r="AP30" s="4" t="e">
        <f t="shared" si="31"/>
        <v>#DIV/0!</v>
      </c>
    </row>
    <row r="32" spans="1:42" x14ac:dyDescent="0.2">
      <c r="A32" s="9" t="s">
        <v>14</v>
      </c>
      <c r="B32" s="2" t="s">
        <v>4</v>
      </c>
    </row>
    <row r="33" spans="1:2" x14ac:dyDescent="0.2">
      <c r="A33" s="9"/>
      <c r="B33" s="2" t="s">
        <v>5</v>
      </c>
    </row>
    <row r="34" spans="1:2" x14ac:dyDescent="0.2">
      <c r="A34" s="9"/>
      <c r="B34" s="2" t="s">
        <v>6</v>
      </c>
    </row>
    <row r="35" spans="1:2" x14ac:dyDescent="0.2">
      <c r="A35" s="9"/>
      <c r="B35" s="2" t="s">
        <v>7</v>
      </c>
    </row>
    <row r="36" spans="1:2" x14ac:dyDescent="0.2">
      <c r="A36" s="9"/>
      <c r="B36" s="2" t="s">
        <v>10</v>
      </c>
    </row>
    <row r="38" spans="1:2" x14ac:dyDescent="0.2">
      <c r="A38" s="9" t="s">
        <v>15</v>
      </c>
      <c r="B38" s="2" t="s">
        <v>4</v>
      </c>
    </row>
    <row r="39" spans="1:2" x14ac:dyDescent="0.2">
      <c r="A39" s="9"/>
      <c r="B39" s="2" t="s">
        <v>5</v>
      </c>
    </row>
    <row r="40" spans="1:2" x14ac:dyDescent="0.2">
      <c r="A40" s="9"/>
      <c r="B40" s="2" t="s">
        <v>6</v>
      </c>
    </row>
    <row r="41" spans="1:2" x14ac:dyDescent="0.2">
      <c r="A41" s="9"/>
      <c r="B41" s="2" t="s">
        <v>7</v>
      </c>
    </row>
    <row r="42" spans="1:2" x14ac:dyDescent="0.2">
      <c r="A42" s="9"/>
      <c r="B42" s="2" t="s">
        <v>10</v>
      </c>
    </row>
    <row r="44" spans="1:2" x14ac:dyDescent="0.2">
      <c r="A44" s="9" t="s">
        <v>16</v>
      </c>
      <c r="B44" s="2" t="s">
        <v>4</v>
      </c>
    </row>
    <row r="45" spans="1:2" x14ac:dyDescent="0.2">
      <c r="A45" s="9"/>
      <c r="B45" s="2" t="s">
        <v>5</v>
      </c>
    </row>
    <row r="46" spans="1:2" x14ac:dyDescent="0.2">
      <c r="A46" s="9"/>
      <c r="B46" s="2" t="s">
        <v>6</v>
      </c>
    </row>
    <row r="47" spans="1:2" x14ac:dyDescent="0.2">
      <c r="A47" s="9"/>
      <c r="B47" s="2" t="s">
        <v>7</v>
      </c>
    </row>
    <row r="48" spans="1:2" x14ac:dyDescent="0.2">
      <c r="A48" s="9"/>
      <c r="B48" s="2" t="s">
        <v>10</v>
      </c>
    </row>
  </sheetData>
  <mergeCells count="9">
    <mergeCell ref="A24:A28"/>
    <mergeCell ref="A32:A36"/>
    <mergeCell ref="A38:A42"/>
    <mergeCell ref="A44:A48"/>
    <mergeCell ref="AC1:AG1"/>
    <mergeCell ref="C1:G1"/>
    <mergeCell ref="O1:S1"/>
    <mergeCell ref="A6:A10"/>
    <mergeCell ref="A14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7"/>
  <sheetViews>
    <sheetView topLeftCell="A11" workbookViewId="0">
      <selection activeCell="B17" sqref="B17"/>
    </sheetView>
  </sheetViews>
  <sheetFormatPr baseColWidth="10" defaultColWidth="8.83203125" defaultRowHeight="15" x14ac:dyDescent="0.2"/>
  <cols>
    <col min="1" max="1" width="20.6640625" customWidth="1"/>
    <col min="2" max="2" width="16.83203125" customWidth="1"/>
    <col min="11" max="11" width="19.6640625" customWidth="1"/>
    <col min="20" max="20" width="19.5" customWidth="1"/>
    <col min="21" max="21" width="11.1640625" customWidth="1"/>
  </cols>
  <sheetData>
    <row r="1" spans="1:39" x14ac:dyDescent="0.2">
      <c r="C1" s="9"/>
      <c r="D1" s="9"/>
      <c r="E1" s="9"/>
      <c r="F1" s="9"/>
      <c r="G1" s="1"/>
      <c r="H1" s="1"/>
      <c r="I1" s="1"/>
      <c r="N1" s="9"/>
      <c r="O1" s="9"/>
      <c r="P1" s="9"/>
      <c r="Q1" s="9"/>
      <c r="AA1" s="9"/>
      <c r="AB1" s="9"/>
      <c r="AC1" s="9"/>
      <c r="AD1" s="9"/>
    </row>
    <row r="2" spans="1:39" x14ac:dyDescent="0.2">
      <c r="C2" s="6" t="s">
        <v>1</v>
      </c>
      <c r="D2" s="6" t="s">
        <v>2</v>
      </c>
      <c r="E2" s="6" t="s">
        <v>30</v>
      </c>
      <c r="F2" t="s">
        <v>24</v>
      </c>
      <c r="G2" s="5" t="s">
        <v>27</v>
      </c>
      <c r="H2" t="s">
        <v>28</v>
      </c>
      <c r="I2" t="s">
        <v>32</v>
      </c>
      <c r="J2" s="6" t="s">
        <v>29</v>
      </c>
      <c r="K2" s="5" t="s">
        <v>13</v>
      </c>
      <c r="L2" t="s">
        <v>33</v>
      </c>
      <c r="N2" s="6" t="s">
        <v>1</v>
      </c>
      <c r="O2" s="6" t="s">
        <v>2</v>
      </c>
      <c r="P2" s="6" t="s">
        <v>30</v>
      </c>
      <c r="Q2" t="s">
        <v>24</v>
      </c>
      <c r="R2" s="5" t="s">
        <v>27</v>
      </c>
      <c r="S2" t="s">
        <v>28</v>
      </c>
      <c r="T2" t="s">
        <v>32</v>
      </c>
      <c r="U2" s="6" t="s">
        <v>29</v>
      </c>
      <c r="V2" s="5" t="s">
        <v>13</v>
      </c>
      <c r="W2" t="s">
        <v>36</v>
      </c>
      <c r="X2" t="s">
        <v>37</v>
      </c>
      <c r="AA2" s="6" t="s">
        <v>1</v>
      </c>
      <c r="AB2" s="6" t="s">
        <v>2</v>
      </c>
      <c r="AC2" s="6" t="s">
        <v>30</v>
      </c>
      <c r="AD2" t="s">
        <v>24</v>
      </c>
      <c r="AE2" s="5" t="s">
        <v>27</v>
      </c>
      <c r="AF2" t="s">
        <v>28</v>
      </c>
      <c r="AG2" t="s">
        <v>32</v>
      </c>
      <c r="AH2" s="6" t="s">
        <v>29</v>
      </c>
      <c r="AI2" s="5" t="s">
        <v>13</v>
      </c>
      <c r="AJ2" t="s">
        <v>36</v>
      </c>
      <c r="AK2" t="s">
        <v>37</v>
      </c>
    </row>
    <row r="3" spans="1:39" x14ac:dyDescent="0.2">
      <c r="B3" t="s">
        <v>20</v>
      </c>
      <c r="D3" s="4">
        <v>3032.03</v>
      </c>
      <c r="E3" s="4">
        <v>12273.1</v>
      </c>
      <c r="F3" s="4">
        <v>9378.5</v>
      </c>
      <c r="G3" s="4">
        <v>6346.3249999999998</v>
      </c>
      <c r="H3" s="4">
        <v>14550.816699999999</v>
      </c>
      <c r="I3" s="4">
        <v>5035.9549999999999</v>
      </c>
      <c r="J3" s="4">
        <v>5096.1018999999997</v>
      </c>
      <c r="K3" s="4">
        <v>105699.01</v>
      </c>
      <c r="L3" s="4">
        <v>3627.4868999999999</v>
      </c>
      <c r="N3" s="4">
        <v>16254.535397</v>
      </c>
      <c r="O3" s="4">
        <v>3264.9805500000002</v>
      </c>
      <c r="P3" s="4">
        <v>12364.896309</v>
      </c>
      <c r="Q3" s="4"/>
      <c r="R3" s="4">
        <v>7082.8</v>
      </c>
      <c r="S3" s="4">
        <v>14599.9617</v>
      </c>
      <c r="T3" s="4"/>
      <c r="U3" s="4">
        <v>5130.2103900000002</v>
      </c>
      <c r="V3" s="4">
        <v>110261.06581</v>
      </c>
      <c r="W3" s="4">
        <v>5078.0180700000001</v>
      </c>
      <c r="X3" s="4">
        <v>3795.9449</v>
      </c>
      <c r="AA3" s="4">
        <v>16244.273999999999</v>
      </c>
      <c r="AB3">
        <v>2813.3399979999999</v>
      </c>
      <c r="AC3">
        <v>12237.431791999999</v>
      </c>
      <c r="AE3">
        <v>6053.8647700000001</v>
      </c>
      <c r="AF3">
        <v>14530.9465</v>
      </c>
      <c r="AH3">
        <v>4807.3312900000001</v>
      </c>
      <c r="AI3">
        <v>110942.99787000001</v>
      </c>
      <c r="AK3">
        <v>3380.8708999999999</v>
      </c>
    </row>
    <row r="4" spans="1:39" x14ac:dyDescent="0.2">
      <c r="B4" t="s">
        <v>8</v>
      </c>
      <c r="D4" s="4">
        <v>3217850</v>
      </c>
      <c r="E4" s="4">
        <v>32946753</v>
      </c>
      <c r="F4" s="4">
        <v>355538</v>
      </c>
      <c r="G4" s="4">
        <v>355538</v>
      </c>
      <c r="H4" s="4">
        <v>13394177</v>
      </c>
      <c r="I4" s="4">
        <v>369139</v>
      </c>
      <c r="J4" s="4">
        <v>409363</v>
      </c>
      <c r="K4" s="4">
        <v>30903859</v>
      </c>
      <c r="L4" s="4">
        <v>409255</v>
      </c>
      <c r="N4" s="4">
        <v>39627457</v>
      </c>
      <c r="O4" s="4">
        <v>3217850</v>
      </c>
      <c r="P4" s="4">
        <v>32940481</v>
      </c>
      <c r="Q4" s="4"/>
      <c r="R4" s="4">
        <v>355538</v>
      </c>
      <c r="S4" s="4">
        <v>13394177</v>
      </c>
      <c r="T4" s="4"/>
      <c r="U4" s="4">
        <v>409363</v>
      </c>
      <c r="V4" s="4">
        <v>30903859</v>
      </c>
      <c r="W4" s="4">
        <v>409255</v>
      </c>
      <c r="X4" s="4">
        <v>409255</v>
      </c>
      <c r="AA4" s="4">
        <v>39627457</v>
      </c>
      <c r="AB4">
        <v>3217850</v>
      </c>
      <c r="AC4">
        <v>32940481</v>
      </c>
      <c r="AE4">
        <v>355538</v>
      </c>
      <c r="AF4">
        <v>13394177</v>
      </c>
      <c r="AH4">
        <v>409363</v>
      </c>
      <c r="AI4">
        <v>30903859</v>
      </c>
      <c r="AK4">
        <v>409255</v>
      </c>
    </row>
    <row r="5" spans="1:39" x14ac:dyDescent="0.2">
      <c r="A5" s="8" t="s">
        <v>13</v>
      </c>
      <c r="B5" s="2" t="s">
        <v>4</v>
      </c>
      <c r="C5" s="4">
        <v>94.26</v>
      </c>
      <c r="D5" s="4">
        <v>91.41</v>
      </c>
      <c r="E5" s="4">
        <v>92.03</v>
      </c>
      <c r="F5" s="4">
        <v>94.32</v>
      </c>
      <c r="G5" s="5">
        <v>94.35</v>
      </c>
      <c r="H5" s="4">
        <v>92.44</v>
      </c>
      <c r="I5" s="4">
        <v>93.29</v>
      </c>
      <c r="J5" s="4">
        <v>91.62</v>
      </c>
      <c r="K5" s="4">
        <v>91.01</v>
      </c>
      <c r="L5" s="4">
        <v>94.27</v>
      </c>
      <c r="N5" s="4">
        <v>91.33</v>
      </c>
      <c r="O5" s="4">
        <v>91.48</v>
      </c>
      <c r="P5" s="4">
        <v>91.55</v>
      </c>
      <c r="Q5" s="4"/>
      <c r="R5" s="4">
        <v>91.9</v>
      </c>
      <c r="S5" s="4">
        <v>91.62</v>
      </c>
      <c r="T5" s="4"/>
      <c r="U5" s="4">
        <v>91.89</v>
      </c>
      <c r="V5" s="4">
        <v>91.57</v>
      </c>
      <c r="W5" s="4">
        <v>92.54</v>
      </c>
      <c r="X5" s="4">
        <v>92.54</v>
      </c>
      <c r="AA5">
        <v>91.78</v>
      </c>
      <c r="AB5">
        <v>91.98</v>
      </c>
      <c r="AC5">
        <v>92.74</v>
      </c>
      <c r="AE5">
        <v>92.96</v>
      </c>
      <c r="AF5">
        <v>91.54</v>
      </c>
      <c r="AH5">
        <v>92.98</v>
      </c>
      <c r="AI5">
        <v>91.32</v>
      </c>
      <c r="AK5">
        <v>93.12</v>
      </c>
    </row>
    <row r="6" spans="1:39" x14ac:dyDescent="0.2">
      <c r="A6" s="8"/>
      <c r="B6" s="2" t="s">
        <v>5</v>
      </c>
      <c r="C6" s="4">
        <v>74.23</v>
      </c>
      <c r="D6" s="4">
        <v>75.86</v>
      </c>
      <c r="E6" s="4">
        <v>77.28</v>
      </c>
      <c r="F6" s="4">
        <v>72.510000000000005</v>
      </c>
      <c r="G6" s="4">
        <v>75.81</v>
      </c>
      <c r="H6" s="4">
        <v>76.849999999999994</v>
      </c>
      <c r="I6" s="4">
        <v>76.010000000000005</v>
      </c>
      <c r="J6" s="5">
        <v>78.36</v>
      </c>
      <c r="K6" s="4">
        <v>82.28</v>
      </c>
      <c r="L6" s="4">
        <v>71.760000000000005</v>
      </c>
      <c r="N6" s="4">
        <v>78.47</v>
      </c>
      <c r="O6" s="4">
        <v>75.05</v>
      </c>
      <c r="P6" s="4">
        <v>77.72</v>
      </c>
      <c r="Q6" s="4"/>
      <c r="R6" s="4">
        <v>80.67</v>
      </c>
      <c r="S6" s="4">
        <v>78.52</v>
      </c>
      <c r="T6" s="4"/>
      <c r="U6" s="4">
        <v>78.239999999999995</v>
      </c>
      <c r="V6" s="4">
        <v>79.37</v>
      </c>
      <c r="W6" s="4">
        <v>75.489999999999995</v>
      </c>
      <c r="X6" s="4">
        <v>75.489999999999995</v>
      </c>
      <c r="AA6">
        <v>77.489999999999995</v>
      </c>
      <c r="AB6">
        <v>75.150000000000006</v>
      </c>
      <c r="AC6">
        <v>78.099999999999994</v>
      </c>
      <c r="AE6">
        <v>74.88</v>
      </c>
      <c r="AF6">
        <v>80.459999999999994</v>
      </c>
      <c r="AH6">
        <v>77.19</v>
      </c>
      <c r="AI6">
        <v>81.349999999999994</v>
      </c>
      <c r="AK6">
        <v>73.069999999999993</v>
      </c>
    </row>
    <row r="7" spans="1:39" x14ac:dyDescent="0.2">
      <c r="A7" s="8"/>
      <c r="B7" s="2" t="s">
        <v>21</v>
      </c>
      <c r="C7" s="4">
        <v>74.23</v>
      </c>
      <c r="D7" s="4">
        <v>75.86</v>
      </c>
      <c r="E7" s="4">
        <v>77.28</v>
      </c>
      <c r="F7" s="4">
        <v>72.510000000000005</v>
      </c>
      <c r="G7" s="4">
        <v>75.81</v>
      </c>
      <c r="H7" s="4">
        <v>76.849999999999994</v>
      </c>
      <c r="I7" s="4">
        <v>76.010000000000005</v>
      </c>
      <c r="J7" s="5">
        <v>78.36</v>
      </c>
      <c r="K7" s="4">
        <v>82.28</v>
      </c>
      <c r="L7" s="4">
        <v>71.760000000000005</v>
      </c>
      <c r="N7" s="4">
        <v>78.47</v>
      </c>
      <c r="O7" s="4">
        <v>75.05</v>
      </c>
      <c r="P7" s="4">
        <v>77.72</v>
      </c>
      <c r="Q7" s="4"/>
      <c r="R7" s="4">
        <v>80.67</v>
      </c>
      <c r="S7" s="4">
        <v>78.52</v>
      </c>
      <c r="T7" s="4"/>
      <c r="U7" s="4">
        <v>78.239999999999995</v>
      </c>
      <c r="V7" s="4">
        <v>79.37</v>
      </c>
      <c r="W7" s="4">
        <v>75.489999999999995</v>
      </c>
      <c r="X7" s="4">
        <v>75.489999999999995</v>
      </c>
      <c r="AA7">
        <v>77.489999999999995</v>
      </c>
      <c r="AB7">
        <v>75.150000000000006</v>
      </c>
      <c r="AC7">
        <v>78.099999999999994</v>
      </c>
      <c r="AE7">
        <v>74.88</v>
      </c>
      <c r="AF7">
        <v>80.459999999999994</v>
      </c>
      <c r="AH7">
        <v>77.19</v>
      </c>
      <c r="AI7">
        <v>81.349999999999994</v>
      </c>
      <c r="AK7">
        <v>73.069999999999993</v>
      </c>
    </row>
    <row r="8" spans="1:39" x14ac:dyDescent="0.2">
      <c r="A8" s="8"/>
      <c r="B8" s="2" t="s">
        <v>22</v>
      </c>
      <c r="C8" s="4">
        <v>71.02</v>
      </c>
      <c r="D8" s="4">
        <v>70.819999999999993</v>
      </c>
      <c r="E8" s="4">
        <v>72.44</v>
      </c>
      <c r="F8" s="4">
        <v>69.48</v>
      </c>
      <c r="G8" s="4">
        <v>72.510000000000005</v>
      </c>
      <c r="H8" s="4">
        <v>72.3</v>
      </c>
      <c r="I8" s="4">
        <v>72.069999999999993</v>
      </c>
      <c r="J8" s="4">
        <v>73.12</v>
      </c>
      <c r="K8" s="5">
        <v>76.099999999999994</v>
      </c>
      <c r="L8" s="4">
        <v>68.760000000000005</v>
      </c>
      <c r="N8" s="4">
        <v>73.040000000000006</v>
      </c>
      <c r="O8" s="4">
        <v>70.150000000000006</v>
      </c>
      <c r="P8" s="4">
        <v>72.52</v>
      </c>
      <c r="Q8" s="4"/>
      <c r="R8" s="4">
        <v>75.319999999999993</v>
      </c>
      <c r="S8" s="4">
        <v>73.260000000000005</v>
      </c>
      <c r="T8" s="4"/>
      <c r="U8" s="4">
        <v>73.180000000000007</v>
      </c>
      <c r="V8" s="4">
        <v>73.97</v>
      </c>
      <c r="W8" s="4">
        <v>71.16</v>
      </c>
      <c r="X8" s="4">
        <v>71.16</v>
      </c>
      <c r="AA8">
        <v>72.459999999999994</v>
      </c>
      <c r="AB8">
        <v>70.53</v>
      </c>
      <c r="AC8">
        <v>73.61</v>
      </c>
      <c r="AE8">
        <v>70.86</v>
      </c>
      <c r="AF8">
        <v>74.89</v>
      </c>
      <c r="AH8">
        <v>72.94</v>
      </c>
      <c r="AI8">
        <v>75.510000000000005</v>
      </c>
      <c r="AK8">
        <v>69.33</v>
      </c>
    </row>
    <row r="9" spans="1:39" x14ac:dyDescent="0.2">
      <c r="A9" s="8"/>
      <c r="B9" s="2" t="s">
        <v>23</v>
      </c>
      <c r="C9" s="4">
        <v>2.3199999999999998E-2</v>
      </c>
      <c r="D9" s="4">
        <v>1.7399999999999999E-2</v>
      </c>
      <c r="E9" s="4">
        <v>2.07E-2</v>
      </c>
      <c r="F9" s="4">
        <v>1.934E-2</v>
      </c>
      <c r="G9" s="4">
        <v>1.8049889999999999E-2</v>
      </c>
      <c r="H9" s="4">
        <v>1.5599999999999999E-2</v>
      </c>
      <c r="I9" s="4">
        <v>1.461113E-2</v>
      </c>
      <c r="J9" s="4">
        <v>1.4153000000000001E-2</v>
      </c>
      <c r="K9" s="4">
        <v>3.5099999999999999E-2</v>
      </c>
      <c r="L9" s="4">
        <v>1.38E-2</v>
      </c>
      <c r="N9" s="4">
        <v>2.2211700000000001E-2</v>
      </c>
      <c r="O9" s="4">
        <v>1.643E-2</v>
      </c>
      <c r="P9" s="4">
        <v>2.0902E-2</v>
      </c>
      <c r="Q9" s="4"/>
      <c r="R9" s="4">
        <v>1.8360999999999999E-2</v>
      </c>
      <c r="S9" s="7">
        <v>1.5980000000000001E-2</v>
      </c>
      <c r="T9" s="4"/>
      <c r="U9" s="4">
        <v>1.3851E-2</v>
      </c>
      <c r="V9" s="4">
        <v>3.3511899999999997E-2</v>
      </c>
      <c r="W9" s="4">
        <v>1.3275199999999999E-2</v>
      </c>
      <c r="X9" s="4">
        <v>1.3275199999999999E-2</v>
      </c>
      <c r="AA9">
        <v>2.2509319999999999E-2</v>
      </c>
      <c r="AB9">
        <v>1.5720700000000001E-2</v>
      </c>
      <c r="AC9">
        <v>1.9502576000000001E-2</v>
      </c>
      <c r="AE9">
        <v>1.7133372000000001E-2</v>
      </c>
      <c r="AF9">
        <v>1.5244300000000001E-2</v>
      </c>
      <c r="AH9">
        <v>1.2982E-2</v>
      </c>
      <c r="AI9">
        <v>3.3183878999999999E-2</v>
      </c>
      <c r="AK9">
        <v>1.250071E-2</v>
      </c>
    </row>
    <row r="10" spans="1:39" x14ac:dyDescent="0.2">
      <c r="A10" s="3"/>
      <c r="B10" s="2" t="s">
        <v>31</v>
      </c>
      <c r="C10" s="4">
        <f t="shared" ref="C10:AM10" si="0">1/C9</f>
        <v>43.103448275862071</v>
      </c>
      <c r="D10" s="4">
        <f t="shared" si="0"/>
        <v>57.471264367816097</v>
      </c>
      <c r="E10" s="4">
        <f t="shared" si="0"/>
        <v>48.309178743961354</v>
      </c>
      <c r="F10" s="4">
        <f t="shared" si="0"/>
        <v>51.706308169596689</v>
      </c>
      <c r="G10" s="4">
        <f t="shared" si="0"/>
        <v>55.401999679776445</v>
      </c>
      <c r="H10" s="4">
        <f t="shared" si="0"/>
        <v>64.102564102564102</v>
      </c>
      <c r="I10" s="4">
        <f t="shared" si="0"/>
        <v>68.440976159954772</v>
      </c>
      <c r="J10" s="4">
        <f t="shared" si="0"/>
        <v>70.656397936833173</v>
      </c>
      <c r="K10" s="4">
        <f t="shared" si="0"/>
        <v>28.490028490028489</v>
      </c>
      <c r="L10" s="4">
        <f t="shared" si="0"/>
        <v>72.463768115942031</v>
      </c>
      <c r="M10" s="4" t="e">
        <f t="shared" si="0"/>
        <v>#DIV/0!</v>
      </c>
      <c r="N10" s="4">
        <f t="shared" si="0"/>
        <v>45.021317593880703</v>
      </c>
      <c r="O10" s="4">
        <f t="shared" si="0"/>
        <v>60.864272671941571</v>
      </c>
      <c r="P10" s="4">
        <f t="shared" si="0"/>
        <v>47.842311740503298</v>
      </c>
      <c r="Q10" s="4" t="e">
        <f t="shared" si="0"/>
        <v>#DIV/0!</v>
      </c>
      <c r="R10" s="4">
        <f t="shared" si="0"/>
        <v>54.463264528075818</v>
      </c>
      <c r="S10" s="4">
        <f t="shared" si="0"/>
        <v>62.578222778473084</v>
      </c>
      <c r="T10" s="4" t="e">
        <f t="shared" si="0"/>
        <v>#DIV/0!</v>
      </c>
      <c r="U10" s="4">
        <f t="shared" si="0"/>
        <v>72.196953288571223</v>
      </c>
      <c r="V10" s="4">
        <f t="shared" si="0"/>
        <v>29.840146336077634</v>
      </c>
      <c r="W10" s="4">
        <f t="shared" si="0"/>
        <v>75.328431963360259</v>
      </c>
      <c r="X10" s="4">
        <f t="shared" si="0"/>
        <v>75.328431963360259</v>
      </c>
      <c r="Y10" s="4" t="e">
        <f t="shared" si="0"/>
        <v>#DIV/0!</v>
      </c>
      <c r="Z10" s="4" t="e">
        <f t="shared" si="0"/>
        <v>#DIV/0!</v>
      </c>
      <c r="AA10" s="4">
        <f t="shared" si="0"/>
        <v>44.426042190523752</v>
      </c>
      <c r="AB10" s="4">
        <f t="shared" si="0"/>
        <v>63.6103990280331</v>
      </c>
      <c r="AC10" s="4">
        <f t="shared" si="0"/>
        <v>51.275277686393835</v>
      </c>
      <c r="AD10" s="4" t="e">
        <f t="shared" si="0"/>
        <v>#DIV/0!</v>
      </c>
      <c r="AE10" s="4">
        <f t="shared" si="0"/>
        <v>58.36562703477167</v>
      </c>
      <c r="AF10" s="4">
        <f t="shared" si="0"/>
        <v>65.598289196617756</v>
      </c>
      <c r="AG10" s="4" t="e">
        <f t="shared" si="0"/>
        <v>#DIV/0!</v>
      </c>
      <c r="AH10" s="4">
        <f t="shared" si="0"/>
        <v>77.029733477122164</v>
      </c>
      <c r="AI10" s="4">
        <f t="shared" si="0"/>
        <v>30.135114704341827</v>
      </c>
      <c r="AJ10" s="4" t="e">
        <f t="shared" si="0"/>
        <v>#DIV/0!</v>
      </c>
      <c r="AK10" s="4">
        <f t="shared" si="0"/>
        <v>79.995456258084545</v>
      </c>
      <c r="AL10" s="4" t="e">
        <f t="shared" si="0"/>
        <v>#DIV/0!</v>
      </c>
      <c r="AM10" s="4" t="e">
        <f t="shared" si="0"/>
        <v>#DIV/0!</v>
      </c>
    </row>
    <row r="11" spans="1:39" x14ac:dyDescent="0.2">
      <c r="A11" s="3"/>
      <c r="B11" s="2" t="s">
        <v>34</v>
      </c>
      <c r="C11" s="4">
        <f t="shared" ref="C11:AM11" si="1">2*(C5*C6)/(C5+C6)</f>
        <v>83.054422220903319</v>
      </c>
      <c r="D11" s="4">
        <f t="shared" si="1"/>
        <v>82.912209003407668</v>
      </c>
      <c r="E11" s="4">
        <f t="shared" si="1"/>
        <v>84.012502510188412</v>
      </c>
      <c r="F11" s="4">
        <f t="shared" si="1"/>
        <v>81.989368818557821</v>
      </c>
      <c r="G11" s="4">
        <f t="shared" si="1"/>
        <v>84.06997531734838</v>
      </c>
      <c r="H11" s="4">
        <f t="shared" si="1"/>
        <v>83.927154586803709</v>
      </c>
      <c r="I11" s="4">
        <f t="shared" si="1"/>
        <v>83.768138216184298</v>
      </c>
      <c r="J11" s="4">
        <f t="shared" si="1"/>
        <v>84.472799152841503</v>
      </c>
      <c r="K11" s="4">
        <f t="shared" si="1"/>
        <v>86.42510012118413</v>
      </c>
      <c r="L11" s="4">
        <f t="shared" si="1"/>
        <v>81.489070649882549</v>
      </c>
      <c r="M11" s="4" t="e">
        <f t="shared" si="1"/>
        <v>#DIV/0!</v>
      </c>
      <c r="N11" s="4">
        <f t="shared" si="1"/>
        <v>84.413016489988223</v>
      </c>
      <c r="O11" s="4">
        <f t="shared" si="1"/>
        <v>82.454500690566263</v>
      </c>
      <c r="P11" s="4">
        <f t="shared" si="1"/>
        <v>84.070018313936316</v>
      </c>
      <c r="Q11" s="4" t="e">
        <f t="shared" si="1"/>
        <v>#DIV/0!</v>
      </c>
      <c r="R11" s="4">
        <f t="shared" si="1"/>
        <v>85.919603639102974</v>
      </c>
      <c r="S11" s="4">
        <f t="shared" si="1"/>
        <v>84.565680028212071</v>
      </c>
      <c r="T11" s="4" t="e">
        <f t="shared" si="1"/>
        <v>#DIV/0!</v>
      </c>
      <c r="U11" s="4">
        <f t="shared" si="1"/>
        <v>84.517411391289002</v>
      </c>
      <c r="V11" s="4">
        <f t="shared" si="1"/>
        <v>85.034642564642567</v>
      </c>
      <c r="W11" s="4">
        <f t="shared" si="1"/>
        <v>83.149968458013447</v>
      </c>
      <c r="X11" s="4">
        <f t="shared" si="1"/>
        <v>83.149968458013447</v>
      </c>
      <c r="Y11" s="4" t="e">
        <f t="shared" si="1"/>
        <v>#DIV/0!</v>
      </c>
      <c r="Z11" s="4" t="e">
        <f t="shared" si="1"/>
        <v>#DIV/0!</v>
      </c>
      <c r="AA11" s="4">
        <f t="shared" si="1"/>
        <v>84.031809535062337</v>
      </c>
      <c r="AB11" s="4">
        <f t="shared" si="1"/>
        <v>82.717609046849759</v>
      </c>
      <c r="AC11" s="4">
        <f t="shared" si="1"/>
        <v>84.792718332943096</v>
      </c>
      <c r="AD11" s="4" t="e">
        <f t="shared" si="1"/>
        <v>#DIV/0!</v>
      </c>
      <c r="AE11" s="4">
        <f t="shared" si="1"/>
        <v>82.946196377502389</v>
      </c>
      <c r="AF11" s="4">
        <f t="shared" si="1"/>
        <v>85.643120930232556</v>
      </c>
      <c r="AG11" s="4" t="e">
        <f t="shared" si="1"/>
        <v>#DIV/0!</v>
      </c>
      <c r="AH11" s="4">
        <f t="shared" si="1"/>
        <v>84.352426397132263</v>
      </c>
      <c r="AI11" s="4">
        <f t="shared" si="1"/>
        <v>86.047165112642602</v>
      </c>
      <c r="AJ11" s="4" t="e">
        <f t="shared" si="1"/>
        <v>#DIV/0!</v>
      </c>
      <c r="AK11" s="4">
        <f t="shared" si="1"/>
        <v>81.885533425597217</v>
      </c>
      <c r="AL11" s="4" t="e">
        <f t="shared" si="1"/>
        <v>#DIV/0!</v>
      </c>
      <c r="AM11" s="4" t="e">
        <f t="shared" si="1"/>
        <v>#DIV/0!</v>
      </c>
    </row>
    <row r="15" spans="1:39" x14ac:dyDescent="0.2">
      <c r="A15" t="s">
        <v>39</v>
      </c>
      <c r="B15" s="2" t="s">
        <v>3</v>
      </c>
      <c r="C15" t="s">
        <v>44</v>
      </c>
      <c r="D15" t="s">
        <v>4</v>
      </c>
      <c r="E15" t="s">
        <v>5</v>
      </c>
      <c r="F15" t="s">
        <v>21</v>
      </c>
      <c r="G15" t="s">
        <v>22</v>
      </c>
      <c r="H15" t="s">
        <v>10</v>
      </c>
      <c r="I15" t="s">
        <v>31</v>
      </c>
      <c r="J15" t="s">
        <v>34</v>
      </c>
      <c r="K15" s="2" t="s">
        <v>45</v>
      </c>
      <c r="L15" t="s">
        <v>44</v>
      </c>
      <c r="M15" t="s">
        <v>4</v>
      </c>
      <c r="N15" t="s">
        <v>5</v>
      </c>
      <c r="O15" t="s">
        <v>21</v>
      </c>
      <c r="P15" t="s">
        <v>22</v>
      </c>
      <c r="Q15" t="s">
        <v>10</v>
      </c>
      <c r="R15" t="s">
        <v>31</v>
      </c>
      <c r="S15" t="s">
        <v>34</v>
      </c>
      <c r="T15" s="2" t="s">
        <v>46</v>
      </c>
      <c r="U15" t="s">
        <v>44</v>
      </c>
      <c r="V15" t="s">
        <v>4</v>
      </c>
      <c r="W15" t="s">
        <v>5</v>
      </c>
      <c r="X15" t="s">
        <v>21</v>
      </c>
      <c r="Y15" t="s">
        <v>22</v>
      </c>
      <c r="Z15" t="s">
        <v>10</v>
      </c>
      <c r="AA15" t="s">
        <v>31</v>
      </c>
      <c r="AB15" t="s">
        <v>34</v>
      </c>
    </row>
    <row r="16" spans="1:39" x14ac:dyDescent="0.2">
      <c r="A16" t="s">
        <v>1</v>
      </c>
      <c r="B16" s="4">
        <v>16234.273999999999</v>
      </c>
      <c r="C16" s="4">
        <v>39627457</v>
      </c>
      <c r="D16" s="4">
        <v>94.26</v>
      </c>
      <c r="E16" s="4">
        <v>74.23</v>
      </c>
      <c r="F16" s="4">
        <v>74.23</v>
      </c>
      <c r="G16" s="4">
        <v>71.02</v>
      </c>
      <c r="H16" s="4">
        <v>2.3199999999999998E-2</v>
      </c>
      <c r="I16" s="4">
        <v>43.103448275862071</v>
      </c>
      <c r="J16">
        <v>83.054422220903319</v>
      </c>
      <c r="K16" s="4">
        <v>16254.535397</v>
      </c>
      <c r="L16" s="4">
        <v>39627457</v>
      </c>
      <c r="M16" s="4">
        <v>91.33</v>
      </c>
      <c r="N16" s="4">
        <v>78.47</v>
      </c>
      <c r="O16" s="4">
        <v>78.47</v>
      </c>
      <c r="P16" s="4">
        <v>73.040000000000006</v>
      </c>
      <c r="Q16" s="4">
        <v>2.2211700000000001E-2</v>
      </c>
      <c r="R16">
        <v>45.021317593880703</v>
      </c>
      <c r="S16">
        <v>84.413016489988223</v>
      </c>
      <c r="T16" s="4">
        <v>16244.273999999999</v>
      </c>
      <c r="U16" s="4">
        <v>39627457</v>
      </c>
      <c r="V16">
        <v>91.78</v>
      </c>
      <c r="W16">
        <v>77.489999999999995</v>
      </c>
      <c r="X16">
        <v>77.489999999999995</v>
      </c>
      <c r="Y16">
        <v>72.459999999999994</v>
      </c>
      <c r="Z16">
        <v>2.2509319999999999E-2</v>
      </c>
      <c r="AA16">
        <v>44.426042190523752</v>
      </c>
      <c r="AB16">
        <v>84.031809535062337</v>
      </c>
    </row>
    <row r="17" spans="1:28" x14ac:dyDescent="0.2">
      <c r="A17" t="s">
        <v>2</v>
      </c>
      <c r="B17" s="4">
        <v>3032.03</v>
      </c>
      <c r="C17" s="4">
        <v>3217850</v>
      </c>
      <c r="D17" s="4">
        <v>91.41</v>
      </c>
      <c r="E17" s="4">
        <v>75.86</v>
      </c>
      <c r="F17" s="4">
        <v>75.86</v>
      </c>
      <c r="G17" s="4">
        <v>70.819999999999993</v>
      </c>
      <c r="H17" s="4">
        <v>1.7399999999999999E-2</v>
      </c>
      <c r="I17">
        <v>57.471264367816097</v>
      </c>
      <c r="J17">
        <v>82.912209003407668</v>
      </c>
      <c r="K17" s="4">
        <v>3264.9805500000002</v>
      </c>
      <c r="L17" s="4">
        <v>3217850</v>
      </c>
      <c r="M17" s="4">
        <v>91.48</v>
      </c>
      <c r="N17" s="4">
        <v>75.05</v>
      </c>
      <c r="O17" s="4">
        <v>75.05</v>
      </c>
      <c r="P17" s="4">
        <v>70.150000000000006</v>
      </c>
      <c r="Q17" s="4">
        <v>1.643E-2</v>
      </c>
      <c r="R17">
        <v>60.864272671941571</v>
      </c>
      <c r="S17">
        <v>82.454500690566263</v>
      </c>
      <c r="T17">
        <v>2813.3399979999999</v>
      </c>
      <c r="U17">
        <v>3217850</v>
      </c>
      <c r="V17">
        <v>91.98</v>
      </c>
      <c r="W17">
        <v>75.150000000000006</v>
      </c>
      <c r="X17">
        <v>75.150000000000006</v>
      </c>
      <c r="Y17">
        <v>70.53</v>
      </c>
      <c r="Z17">
        <v>1.5720700000000001E-2</v>
      </c>
      <c r="AA17">
        <v>63.6103990280331</v>
      </c>
      <c r="AB17">
        <v>82.717609046849759</v>
      </c>
    </row>
    <row r="18" spans="1:28" x14ac:dyDescent="0.2">
      <c r="A18" t="s">
        <v>9</v>
      </c>
      <c r="B18" s="4">
        <v>12273.1</v>
      </c>
      <c r="C18" s="4">
        <v>32946753</v>
      </c>
      <c r="D18" s="4">
        <v>92.03</v>
      </c>
      <c r="E18" s="4">
        <v>77.28</v>
      </c>
      <c r="F18" s="4">
        <v>77.28</v>
      </c>
      <c r="G18" s="4">
        <v>72.44</v>
      </c>
      <c r="H18" s="4">
        <v>2.07E-2</v>
      </c>
      <c r="I18">
        <v>48.309178743961354</v>
      </c>
      <c r="J18">
        <v>84.012502510188412</v>
      </c>
      <c r="K18" s="4">
        <v>12364.896309</v>
      </c>
      <c r="L18" s="4">
        <v>32940481</v>
      </c>
      <c r="M18" s="4">
        <v>91.55</v>
      </c>
      <c r="N18" s="4">
        <v>77.72</v>
      </c>
      <c r="O18" s="4">
        <v>77.72</v>
      </c>
      <c r="P18" s="4">
        <v>72.52</v>
      </c>
      <c r="Q18" s="4">
        <v>2.0902E-2</v>
      </c>
      <c r="R18">
        <v>47.842311740503298</v>
      </c>
      <c r="S18">
        <v>84.070018313936316</v>
      </c>
      <c r="T18">
        <v>12237.431791999999</v>
      </c>
      <c r="U18">
        <v>32940481</v>
      </c>
      <c r="V18">
        <v>92.74</v>
      </c>
      <c r="W18">
        <v>78.099999999999994</v>
      </c>
      <c r="X18">
        <v>78.099999999999994</v>
      </c>
      <c r="Y18">
        <v>73.61</v>
      </c>
      <c r="Z18">
        <v>1.9502576000000001E-2</v>
      </c>
      <c r="AA18">
        <v>51.275277686393835</v>
      </c>
      <c r="AB18">
        <v>84.792718332943096</v>
      </c>
    </row>
    <row r="19" spans="1:28" x14ac:dyDescent="0.2">
      <c r="A19" t="s">
        <v>40</v>
      </c>
      <c r="B19" s="4">
        <v>6346.3249999999998</v>
      </c>
      <c r="C19" s="4">
        <v>355538</v>
      </c>
      <c r="D19" s="5">
        <v>94.35</v>
      </c>
      <c r="E19" s="4">
        <v>75.81</v>
      </c>
      <c r="F19" s="4">
        <v>75.81</v>
      </c>
      <c r="G19" s="4">
        <v>72.510000000000005</v>
      </c>
      <c r="H19" s="4">
        <v>1.8049889999999999E-2</v>
      </c>
      <c r="I19">
        <v>55.401999679776445</v>
      </c>
      <c r="J19">
        <v>84.06997531734838</v>
      </c>
      <c r="K19" s="4">
        <v>7082.8</v>
      </c>
      <c r="L19" s="4">
        <v>355538</v>
      </c>
      <c r="M19" s="4">
        <v>91.9</v>
      </c>
      <c r="N19" s="4">
        <v>80.67</v>
      </c>
      <c r="O19" s="4">
        <v>80.67</v>
      </c>
      <c r="P19" s="4">
        <v>75.319999999999993</v>
      </c>
      <c r="Q19" s="4">
        <v>1.8360999999999999E-2</v>
      </c>
      <c r="R19">
        <v>54.463264528075818</v>
      </c>
      <c r="S19">
        <v>85.919603639102974</v>
      </c>
      <c r="T19">
        <v>6053.8647700000001</v>
      </c>
      <c r="U19">
        <v>355538</v>
      </c>
      <c r="V19">
        <v>92.96</v>
      </c>
      <c r="W19">
        <v>74.88</v>
      </c>
      <c r="X19">
        <v>74.88</v>
      </c>
      <c r="Y19">
        <v>70.86</v>
      </c>
      <c r="Z19">
        <v>1.7133372000000001E-2</v>
      </c>
      <c r="AA19">
        <v>58.36562703477167</v>
      </c>
      <c r="AB19">
        <v>82.946196377502389</v>
      </c>
    </row>
    <row r="20" spans="1:28" x14ac:dyDescent="0.2">
      <c r="A20" t="s">
        <v>0</v>
      </c>
      <c r="B20" s="4">
        <v>14550.816699999999</v>
      </c>
      <c r="C20" s="4">
        <v>13394177</v>
      </c>
      <c r="D20" s="4">
        <v>92.44</v>
      </c>
      <c r="E20" s="4">
        <v>76.849999999999994</v>
      </c>
      <c r="F20" s="4">
        <v>76.849999999999994</v>
      </c>
      <c r="G20" s="4">
        <v>72.3</v>
      </c>
      <c r="H20" s="4">
        <v>1.5599999999999999E-2</v>
      </c>
      <c r="I20" s="4">
        <v>64.102564102564102</v>
      </c>
      <c r="J20" s="4">
        <v>83.927154586803709</v>
      </c>
      <c r="K20" s="4">
        <v>14599.9617</v>
      </c>
      <c r="L20" s="4">
        <v>13394177</v>
      </c>
      <c r="M20" s="4">
        <v>91.62</v>
      </c>
      <c r="N20" s="4">
        <v>78.52</v>
      </c>
      <c r="O20" s="4">
        <v>78.52</v>
      </c>
      <c r="P20" s="4">
        <v>73.260000000000005</v>
      </c>
      <c r="Q20" s="7">
        <v>1.5980000000000001E-2</v>
      </c>
      <c r="R20">
        <v>62.578222778473084</v>
      </c>
      <c r="S20">
        <v>84.565680028212071</v>
      </c>
      <c r="T20">
        <v>14530.9465</v>
      </c>
      <c r="U20">
        <v>13394177</v>
      </c>
      <c r="V20">
        <v>91.54</v>
      </c>
      <c r="W20">
        <v>80.459999999999994</v>
      </c>
      <c r="X20">
        <v>80.459999999999994</v>
      </c>
      <c r="Y20">
        <v>74.89</v>
      </c>
      <c r="Z20">
        <v>1.5244300000000001E-2</v>
      </c>
      <c r="AA20">
        <v>65.598289196617756</v>
      </c>
      <c r="AB20">
        <v>85.643120930232556</v>
      </c>
    </row>
    <row r="21" spans="1:28" x14ac:dyDescent="0.2">
      <c r="A21" t="s">
        <v>41</v>
      </c>
      <c r="B21" s="4">
        <v>5096.1018999999997</v>
      </c>
      <c r="C21" s="4">
        <v>409363</v>
      </c>
      <c r="D21" s="4">
        <v>91.62</v>
      </c>
      <c r="E21" s="5">
        <v>78.36</v>
      </c>
      <c r="F21" s="5">
        <v>78.36</v>
      </c>
      <c r="G21" s="4">
        <v>73.12</v>
      </c>
      <c r="H21" s="4">
        <v>1.4153000000000001E-2</v>
      </c>
      <c r="I21">
        <v>70.656397936833173</v>
      </c>
      <c r="J21">
        <v>84.472799152841503</v>
      </c>
      <c r="K21" s="4">
        <v>5130.2103900000002</v>
      </c>
      <c r="L21" s="4">
        <v>409363</v>
      </c>
      <c r="M21" s="4">
        <v>91.89</v>
      </c>
      <c r="N21" s="4">
        <v>78.239999999999995</v>
      </c>
      <c r="O21" s="4">
        <v>78.239999999999995</v>
      </c>
      <c r="P21" s="4">
        <v>73.180000000000007</v>
      </c>
      <c r="Q21" s="4">
        <v>1.3851E-2</v>
      </c>
      <c r="R21">
        <v>72.196953288571223</v>
      </c>
      <c r="S21">
        <v>84.517411391289002</v>
      </c>
      <c r="T21">
        <v>4807.3312900000001</v>
      </c>
      <c r="U21">
        <v>409363</v>
      </c>
      <c r="V21">
        <v>92.98</v>
      </c>
      <c r="W21">
        <v>77.19</v>
      </c>
      <c r="X21">
        <v>77.19</v>
      </c>
      <c r="Y21">
        <v>72.94</v>
      </c>
      <c r="Z21">
        <v>1.2982E-2</v>
      </c>
      <c r="AA21">
        <v>77.029733477122164</v>
      </c>
      <c r="AB21">
        <v>84.352426397132263</v>
      </c>
    </row>
    <row r="22" spans="1:28" x14ac:dyDescent="0.2">
      <c r="A22" t="s">
        <v>42</v>
      </c>
      <c r="B22" s="4">
        <v>105699.01</v>
      </c>
      <c r="C22" s="4">
        <v>30903859</v>
      </c>
      <c r="D22" s="4">
        <v>91.01</v>
      </c>
      <c r="E22" s="4">
        <v>82.28</v>
      </c>
      <c r="F22" s="4">
        <v>82.28</v>
      </c>
      <c r="G22" s="5">
        <v>76.099999999999994</v>
      </c>
      <c r="H22" s="4">
        <v>3.5099999999999999E-2</v>
      </c>
      <c r="I22">
        <v>28.490028490028489</v>
      </c>
      <c r="J22">
        <v>86.42510012118413</v>
      </c>
      <c r="K22" s="4">
        <v>110261.06581</v>
      </c>
      <c r="L22" s="4">
        <v>30903859</v>
      </c>
      <c r="M22" s="4">
        <v>91.57</v>
      </c>
      <c r="N22" s="4">
        <v>79.37</v>
      </c>
      <c r="O22" s="4">
        <v>79.37</v>
      </c>
      <c r="P22" s="4">
        <v>73.97</v>
      </c>
      <c r="Q22" s="4">
        <v>3.3511899999999997E-2</v>
      </c>
      <c r="R22">
        <v>29.840146336077634</v>
      </c>
      <c r="S22">
        <v>85.034642564642567</v>
      </c>
      <c r="T22">
        <v>110942.99787000001</v>
      </c>
      <c r="U22">
        <v>30903859</v>
      </c>
      <c r="V22">
        <v>91.32</v>
      </c>
      <c r="W22">
        <v>81.349999999999994</v>
      </c>
      <c r="X22">
        <v>81.349999999999994</v>
      </c>
      <c r="Y22">
        <v>75.510000000000005</v>
      </c>
      <c r="Z22">
        <v>3.3183878999999999E-2</v>
      </c>
      <c r="AA22">
        <v>30.135114704341827</v>
      </c>
      <c r="AB22">
        <v>86.047165112642602</v>
      </c>
    </row>
    <row r="23" spans="1:28" x14ac:dyDescent="0.2">
      <c r="A23" t="s">
        <v>43</v>
      </c>
      <c r="B23" s="4">
        <v>3627.4868999999999</v>
      </c>
      <c r="C23" s="4">
        <v>409255</v>
      </c>
      <c r="D23" s="4">
        <v>94.27</v>
      </c>
      <c r="E23" s="4">
        <v>71.760000000000005</v>
      </c>
      <c r="F23" s="4">
        <v>71.760000000000005</v>
      </c>
      <c r="G23" s="4">
        <v>68.760000000000005</v>
      </c>
      <c r="H23" s="4">
        <v>1.38E-2</v>
      </c>
      <c r="I23">
        <v>72.463768115942031</v>
      </c>
      <c r="J23">
        <v>81.489070649882549</v>
      </c>
      <c r="K23" s="4">
        <v>3795.9449</v>
      </c>
      <c r="L23" s="4">
        <v>409255</v>
      </c>
      <c r="M23" s="4">
        <v>92.54</v>
      </c>
      <c r="N23" s="4">
        <v>75.489999999999995</v>
      </c>
      <c r="O23" s="4">
        <v>75.489999999999995</v>
      </c>
      <c r="P23" s="4">
        <v>71.16</v>
      </c>
      <c r="Q23" s="4">
        <v>1.3275199999999999E-2</v>
      </c>
      <c r="R23">
        <v>75.328431963360259</v>
      </c>
      <c r="S23">
        <v>83.149968458013447</v>
      </c>
      <c r="T23">
        <v>3380.8708999999999</v>
      </c>
      <c r="U23">
        <v>409255</v>
      </c>
      <c r="V23">
        <v>93.12</v>
      </c>
      <c r="W23">
        <v>73.069999999999993</v>
      </c>
      <c r="X23">
        <v>73.069999999999993</v>
      </c>
      <c r="Y23">
        <v>69.33</v>
      </c>
      <c r="Z23">
        <v>1.250071E-2</v>
      </c>
      <c r="AA23">
        <v>79.995456258084545</v>
      </c>
      <c r="AB23">
        <v>81.885533425597217</v>
      </c>
    </row>
    <row r="29" spans="1:28" x14ac:dyDescent="0.2">
      <c r="A29" t="s">
        <v>39</v>
      </c>
      <c r="B29" s="2" t="s">
        <v>3</v>
      </c>
      <c r="C29" t="s">
        <v>47</v>
      </c>
      <c r="D29" t="s">
        <v>44</v>
      </c>
      <c r="F29" t="s">
        <v>4</v>
      </c>
      <c r="G29" t="s">
        <v>48</v>
      </c>
      <c r="H29" t="s">
        <v>5</v>
      </c>
      <c r="I29" t="s">
        <v>49</v>
      </c>
      <c r="J29" t="s">
        <v>21</v>
      </c>
      <c r="K29" t="s">
        <v>50</v>
      </c>
      <c r="L29" t="s">
        <v>22</v>
      </c>
      <c r="M29" t="s">
        <v>51</v>
      </c>
      <c r="N29" t="s">
        <v>10</v>
      </c>
      <c r="O29" t="s">
        <v>52</v>
      </c>
      <c r="P29" t="s">
        <v>31</v>
      </c>
      <c r="Q29" t="s">
        <v>53</v>
      </c>
      <c r="R29" t="s">
        <v>34</v>
      </c>
      <c r="S29" t="s">
        <v>54</v>
      </c>
    </row>
    <row r="30" spans="1:28" x14ac:dyDescent="0.2">
      <c r="A30" t="s">
        <v>1</v>
      </c>
      <c r="B30">
        <f>AVERAGE(B16,K16,T16)</f>
        <v>16244.361132333332</v>
      </c>
      <c r="C30">
        <f>STDEV(B16,K16,T16)</f>
        <v>10.130979524731975</v>
      </c>
      <c r="D30" s="4">
        <v>39627457</v>
      </c>
      <c r="F30">
        <f>AVERAGE(D16,M16,V16)</f>
        <v>92.456666666666663</v>
      </c>
      <c r="G30">
        <f>STDEV(D16,M16,V16)</f>
        <v>1.5778571967492316</v>
      </c>
      <c r="H30">
        <f>AVERAGE(E16,N16,W16)</f>
        <v>76.73</v>
      </c>
      <c r="I30">
        <f>STDEV(E16,N16,W16)</f>
        <v>2.2198198125073088</v>
      </c>
      <c r="J30">
        <f>AVERAGE(F16,O16,X16)</f>
        <v>76.73</v>
      </c>
      <c r="K30">
        <f>STDEV(F16,O16,X16)</f>
        <v>2.2198198125073088</v>
      </c>
      <c r="L30">
        <f>AVERAGE(G16,P16,Y16)</f>
        <v>72.173333333333332</v>
      </c>
      <c r="M30">
        <f>STDEV(G16,P16,Y16)</f>
        <v>1.0400641005886808</v>
      </c>
      <c r="N30">
        <f>AVERAGE(H16,Q16,Z16)</f>
        <v>2.2640339999999998E-2</v>
      </c>
      <c r="O30">
        <f>STDEV(H16,Q16,Z16)</f>
        <v>5.0700976598089188E-4</v>
      </c>
      <c r="P30">
        <f>AVERAGE(I16,R16,AA16)</f>
        <v>44.183602686755506</v>
      </c>
      <c r="Q30">
        <f>STDEV(I16,R16,AA16)</f>
        <v>0.98165083659611729</v>
      </c>
      <c r="R30">
        <f>AVERAGE(J16,S16,AB16)</f>
        <v>83.833082748651293</v>
      </c>
      <c r="S30">
        <f>STDEV(J16,S16,AB16)</f>
        <v>0.70075947993982313</v>
      </c>
    </row>
    <row r="31" spans="1:28" x14ac:dyDescent="0.2">
      <c r="A31" t="s">
        <v>2</v>
      </c>
      <c r="B31">
        <f t="shared" ref="B31:B37" si="2">AVERAGE(B17,K17,T17)</f>
        <v>3036.783516</v>
      </c>
      <c r="C31">
        <f t="shared" ref="C31:C37" si="3">STDEV(B17,K17,T17)</f>
        <v>225.8577959435714</v>
      </c>
      <c r="D31" s="4">
        <v>3217850</v>
      </c>
      <c r="F31">
        <f t="shared" ref="F31:F37" si="4">AVERAGE(D17,M17,V17)</f>
        <v>91.623333333333335</v>
      </c>
      <c r="G31">
        <f t="shared" ref="G31:G37" si="5">STDEV(D17,M17,V17)</f>
        <v>0.31085902485424949</v>
      </c>
      <c r="H31">
        <f t="shared" ref="H31:H37" si="6">AVERAGE(E17,N17,W17)</f>
        <v>75.353333333333339</v>
      </c>
      <c r="I31">
        <f t="shared" ref="I31:I37" si="7">STDEV(E17,N17,W17)</f>
        <v>0.44162578427140409</v>
      </c>
      <c r="J31">
        <f t="shared" ref="J31:J37" si="8">AVERAGE(F17,O17,X17)</f>
        <v>75.353333333333339</v>
      </c>
      <c r="K31">
        <f t="shared" ref="K31:K37" si="9">STDEV(F17,O17,X17)</f>
        <v>0.44162578427140409</v>
      </c>
      <c r="L31">
        <f t="shared" ref="L31:L37" si="10">AVERAGE(G17,P17,Y17)</f>
        <v>70.5</v>
      </c>
      <c r="M31">
        <f t="shared" ref="M31:M37" si="11">STDEV(G17,P17,Y17)</f>
        <v>0.33600595232822272</v>
      </c>
      <c r="N31">
        <f t="shared" ref="N31:N37" si="12">AVERAGE(H17,Q17,Z17)</f>
        <v>1.6516900000000001E-2</v>
      </c>
      <c r="O31">
        <f t="shared" ref="O31:O37" si="13">STDEV(H17,Q17,Z17)</f>
        <v>8.4301591325431008E-4</v>
      </c>
      <c r="P31">
        <f t="shared" ref="P31:P37" si="14">AVERAGE(I17,R17,AA17)</f>
        <v>60.648645355930256</v>
      </c>
      <c r="Q31">
        <f t="shared" ref="Q31:Q37" si="15">STDEV(I17,R17,AA17)</f>
        <v>3.0752422585264916</v>
      </c>
      <c r="R31">
        <f t="shared" ref="R31:R37" si="16">AVERAGE(J17,S17,AB17)</f>
        <v>82.694772913607892</v>
      </c>
      <c r="S31">
        <f t="shared" ref="S31:S37" si="17">STDEV(J17,S17,AB17)</f>
        <v>0.22970707792123285</v>
      </c>
    </row>
    <row r="32" spans="1:28" x14ac:dyDescent="0.2">
      <c r="A32" t="s">
        <v>9</v>
      </c>
      <c r="B32">
        <f t="shared" si="2"/>
        <v>12291.809367</v>
      </c>
      <c r="C32">
        <f t="shared" si="3"/>
        <v>65.759646316463304</v>
      </c>
      <c r="D32" s="4">
        <v>32946753</v>
      </c>
      <c r="F32">
        <f t="shared" si="4"/>
        <v>92.106666666666669</v>
      </c>
      <c r="G32">
        <f t="shared" si="5"/>
        <v>0.5986930209492437</v>
      </c>
      <c r="H32">
        <f t="shared" si="6"/>
        <v>77.7</v>
      </c>
      <c r="I32">
        <f t="shared" si="7"/>
        <v>0.41036569057366046</v>
      </c>
      <c r="J32">
        <f t="shared" si="8"/>
        <v>77.7</v>
      </c>
      <c r="K32">
        <f t="shared" si="9"/>
        <v>0.41036569057366046</v>
      </c>
      <c r="L32">
        <f t="shared" si="10"/>
        <v>72.856666666666669</v>
      </c>
      <c r="M32">
        <f t="shared" si="11"/>
        <v>0.65363088462322161</v>
      </c>
      <c r="N32">
        <f t="shared" si="12"/>
        <v>2.0368192E-2</v>
      </c>
      <c r="O32">
        <f t="shared" si="13"/>
        <v>7.5641872966763558E-4</v>
      </c>
      <c r="P32">
        <f t="shared" si="14"/>
        <v>49.142256056952839</v>
      </c>
      <c r="Q32">
        <f t="shared" si="15"/>
        <v>1.8619417696256908</v>
      </c>
      <c r="R32">
        <f t="shared" si="16"/>
        <v>84.291746385689279</v>
      </c>
      <c r="S32">
        <f t="shared" si="17"/>
        <v>0.43480649244423203</v>
      </c>
    </row>
    <row r="33" spans="1:19" x14ac:dyDescent="0.2">
      <c r="A33" t="s">
        <v>40</v>
      </c>
      <c r="B33">
        <f t="shared" si="2"/>
        <v>6494.3299233333337</v>
      </c>
      <c r="C33">
        <f t="shared" si="3"/>
        <v>530.19432275531551</v>
      </c>
      <c r="D33" s="4">
        <v>355538</v>
      </c>
      <c r="F33">
        <f t="shared" si="4"/>
        <v>93.07</v>
      </c>
      <c r="G33">
        <f t="shared" si="5"/>
        <v>1.2286984984120339</v>
      </c>
      <c r="H33">
        <f t="shared" si="6"/>
        <v>77.12</v>
      </c>
      <c r="I33">
        <f t="shared" si="7"/>
        <v>3.1093568466806785</v>
      </c>
      <c r="J33">
        <f t="shared" si="8"/>
        <v>77.12</v>
      </c>
      <c r="K33">
        <f t="shared" si="9"/>
        <v>3.1093568466806785</v>
      </c>
      <c r="L33">
        <f t="shared" si="10"/>
        <v>72.896666666666661</v>
      </c>
      <c r="M33">
        <f t="shared" si="11"/>
        <v>2.2550018477449894</v>
      </c>
      <c r="N33">
        <f t="shared" si="12"/>
        <v>1.7848087333333335E-2</v>
      </c>
      <c r="O33">
        <f t="shared" si="13"/>
        <v>6.3820910664243267E-4</v>
      </c>
      <c r="P33">
        <f t="shared" si="14"/>
        <v>56.076963747541306</v>
      </c>
      <c r="Q33">
        <f t="shared" si="15"/>
        <v>2.0368580345710532</v>
      </c>
      <c r="R33">
        <f t="shared" si="16"/>
        <v>84.311925111317905</v>
      </c>
      <c r="S33">
        <f t="shared" si="17"/>
        <v>1.5013968372606212</v>
      </c>
    </row>
    <row r="34" spans="1:19" x14ac:dyDescent="0.2">
      <c r="A34" t="s">
        <v>0</v>
      </c>
      <c r="B34">
        <f t="shared" si="2"/>
        <v>14560.574966666667</v>
      </c>
      <c r="C34">
        <f t="shared" si="3"/>
        <v>35.527345580740089</v>
      </c>
      <c r="D34" s="4">
        <v>13394177</v>
      </c>
      <c r="F34">
        <f t="shared" si="4"/>
        <v>91.866666666666674</v>
      </c>
      <c r="G34">
        <f t="shared" si="5"/>
        <v>0.49812983581926595</v>
      </c>
      <c r="H34">
        <f t="shared" si="6"/>
        <v>78.61</v>
      </c>
      <c r="I34">
        <f t="shared" si="7"/>
        <v>1.8066820417549954</v>
      </c>
      <c r="J34">
        <f t="shared" si="8"/>
        <v>78.61</v>
      </c>
      <c r="K34">
        <f t="shared" si="9"/>
        <v>1.8066820417549954</v>
      </c>
      <c r="L34">
        <f t="shared" si="10"/>
        <v>73.483333333333334</v>
      </c>
      <c r="M34">
        <f t="shared" si="11"/>
        <v>1.309363713157401</v>
      </c>
      <c r="N34">
        <f t="shared" si="12"/>
        <v>1.56081E-2</v>
      </c>
      <c r="O34">
        <f t="shared" si="13"/>
        <v>3.679168791996369E-4</v>
      </c>
      <c r="P34">
        <f t="shared" si="14"/>
        <v>64.093025359218316</v>
      </c>
      <c r="Q34">
        <f t="shared" si="15"/>
        <v>1.5100558046707284</v>
      </c>
      <c r="R34">
        <f t="shared" si="16"/>
        <v>84.711985181749455</v>
      </c>
      <c r="S34">
        <f t="shared" si="17"/>
        <v>0.8672883150422569</v>
      </c>
    </row>
    <row r="35" spans="1:19" x14ac:dyDescent="0.2">
      <c r="A35" t="s">
        <v>41</v>
      </c>
      <c r="B35">
        <f t="shared" si="2"/>
        <v>5011.2145266666666</v>
      </c>
      <c r="C35">
        <f t="shared" si="3"/>
        <v>177.38976271977199</v>
      </c>
      <c r="D35" s="4">
        <v>409363</v>
      </c>
      <c r="F35">
        <f t="shared" si="4"/>
        <v>92.163333333333341</v>
      </c>
      <c r="G35">
        <f t="shared" si="5"/>
        <v>0.7200231477760517</v>
      </c>
      <c r="H35">
        <f t="shared" si="6"/>
        <v>77.929999999999993</v>
      </c>
      <c r="I35">
        <f t="shared" si="7"/>
        <v>0.64366140167016372</v>
      </c>
      <c r="J35">
        <f t="shared" si="8"/>
        <v>77.929999999999993</v>
      </c>
      <c r="K35">
        <f t="shared" si="9"/>
        <v>0.64366140167016372</v>
      </c>
      <c r="L35">
        <f t="shared" si="10"/>
        <v>73.08</v>
      </c>
      <c r="M35">
        <f t="shared" si="11"/>
        <v>0.12489995996797269</v>
      </c>
      <c r="N35">
        <f t="shared" si="12"/>
        <v>1.3662000000000001E-2</v>
      </c>
      <c r="O35">
        <f t="shared" si="13"/>
        <v>6.0794818858188901E-4</v>
      </c>
      <c r="P35">
        <f t="shared" si="14"/>
        <v>73.294361567508858</v>
      </c>
      <c r="Q35">
        <f t="shared" si="15"/>
        <v>3.3253691787962931</v>
      </c>
      <c r="R35">
        <f t="shared" si="16"/>
        <v>84.44754564708758</v>
      </c>
      <c r="S35">
        <f t="shared" si="17"/>
        <v>8.5342350207104525E-2</v>
      </c>
    </row>
    <row r="36" spans="1:19" x14ac:dyDescent="0.2">
      <c r="A36" t="s">
        <v>42</v>
      </c>
      <c r="B36">
        <f t="shared" si="2"/>
        <v>108967.69122666668</v>
      </c>
      <c r="C36">
        <f t="shared" si="3"/>
        <v>2851.2217652764784</v>
      </c>
      <c r="D36" s="4">
        <v>30903859</v>
      </c>
      <c r="F36">
        <f t="shared" si="4"/>
        <v>91.3</v>
      </c>
      <c r="G36">
        <f t="shared" si="5"/>
        <v>0.28053520278210459</v>
      </c>
      <c r="H36">
        <f t="shared" si="6"/>
        <v>81</v>
      </c>
      <c r="I36">
        <f t="shared" si="7"/>
        <v>1.4862368586466936</v>
      </c>
      <c r="J36">
        <f t="shared" si="8"/>
        <v>81</v>
      </c>
      <c r="K36">
        <f t="shared" si="9"/>
        <v>1.4862368586466936</v>
      </c>
      <c r="L36">
        <f t="shared" si="10"/>
        <v>75.193333333333328</v>
      </c>
      <c r="M36">
        <f t="shared" si="11"/>
        <v>1.0997423940784183</v>
      </c>
      <c r="N36">
        <f t="shared" si="12"/>
        <v>3.3931926333333334E-2</v>
      </c>
      <c r="O36">
        <f t="shared" si="13"/>
        <v>1.0247909602354686E-3</v>
      </c>
      <c r="P36">
        <f t="shared" si="14"/>
        <v>29.488429843482649</v>
      </c>
      <c r="Q36">
        <f t="shared" si="15"/>
        <v>0.87712914186192403</v>
      </c>
      <c r="R36">
        <f t="shared" si="16"/>
        <v>85.835635932823109</v>
      </c>
      <c r="S36">
        <f t="shared" si="17"/>
        <v>0.71895862159947488</v>
      </c>
    </row>
    <row r="37" spans="1:19" x14ac:dyDescent="0.2">
      <c r="A37" t="s">
        <v>43</v>
      </c>
      <c r="B37">
        <f t="shared" si="2"/>
        <v>3601.4342333333334</v>
      </c>
      <c r="C37">
        <f t="shared" si="3"/>
        <v>208.75982000694805</v>
      </c>
      <c r="D37" s="4">
        <v>409255</v>
      </c>
      <c r="F37">
        <f t="shared" si="4"/>
        <v>93.31</v>
      </c>
      <c r="G37">
        <f t="shared" si="5"/>
        <v>0.88051121514719533</v>
      </c>
      <c r="H37">
        <f t="shared" si="6"/>
        <v>73.44</v>
      </c>
      <c r="I37">
        <f t="shared" si="7"/>
        <v>1.8923266102869196</v>
      </c>
      <c r="J37">
        <f t="shared" si="8"/>
        <v>73.44</v>
      </c>
      <c r="K37">
        <f t="shared" si="9"/>
        <v>1.8923266102869196</v>
      </c>
      <c r="L37">
        <f t="shared" si="10"/>
        <v>69.75</v>
      </c>
      <c r="M37">
        <f t="shared" si="11"/>
        <v>1.2539138726403782</v>
      </c>
      <c r="N37">
        <f t="shared" si="12"/>
        <v>1.3191969999999999E-2</v>
      </c>
      <c r="O37">
        <f t="shared" si="13"/>
        <v>6.5363143337816897E-4</v>
      </c>
      <c r="P37">
        <f t="shared" si="14"/>
        <v>75.929218779128945</v>
      </c>
      <c r="Q37">
        <f t="shared" si="15"/>
        <v>3.8016167831757643</v>
      </c>
      <c r="R37">
        <f t="shared" si="16"/>
        <v>82.174857511164404</v>
      </c>
      <c r="S37">
        <f t="shared" si="17"/>
        <v>0.86742532942638473</v>
      </c>
    </row>
  </sheetData>
  <mergeCells count="4">
    <mergeCell ref="C1:F1"/>
    <mergeCell ref="N1:Q1"/>
    <mergeCell ref="AA1:AD1"/>
    <mergeCell ref="A5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AD8C-C206-324C-8E8D-57487E2449E1}">
  <dimension ref="A1:G15"/>
  <sheetViews>
    <sheetView workbookViewId="0">
      <selection activeCell="A6" sqref="A6:G6"/>
    </sheetView>
  </sheetViews>
  <sheetFormatPr baseColWidth="10" defaultRowHeight="15" x14ac:dyDescent="0.2"/>
  <sheetData>
    <row r="1" spans="1:7" x14ac:dyDescent="0.2">
      <c r="A1" t="s">
        <v>39</v>
      </c>
      <c r="B1" t="s">
        <v>31</v>
      </c>
      <c r="C1" t="s">
        <v>22</v>
      </c>
      <c r="D1" t="s">
        <v>31</v>
      </c>
      <c r="E1" t="s">
        <v>22</v>
      </c>
      <c r="F1" t="s">
        <v>31</v>
      </c>
      <c r="G1" t="s">
        <v>22</v>
      </c>
    </row>
    <row r="2" spans="1:7" x14ac:dyDescent="0.2">
      <c r="A2" t="s">
        <v>1</v>
      </c>
      <c r="B2">
        <v>43.103448275862071</v>
      </c>
      <c r="C2">
        <v>71.02</v>
      </c>
      <c r="D2">
        <v>45.021317593880703</v>
      </c>
      <c r="E2">
        <v>73.040000000000006</v>
      </c>
      <c r="F2">
        <v>44.426042190523752</v>
      </c>
      <c r="G2">
        <v>72.459999999999994</v>
      </c>
    </row>
    <row r="3" spans="1:7" x14ac:dyDescent="0.2">
      <c r="A3" t="s">
        <v>2</v>
      </c>
      <c r="B3">
        <v>57.471264367816097</v>
      </c>
      <c r="C3">
        <v>70.819999999999993</v>
      </c>
      <c r="D3">
        <v>60.864272671941571</v>
      </c>
      <c r="E3">
        <v>70.150000000000006</v>
      </c>
      <c r="F3">
        <v>63.6103990280331</v>
      </c>
      <c r="G3">
        <v>70.53</v>
      </c>
    </row>
    <row r="4" spans="1:7" x14ac:dyDescent="0.2">
      <c r="A4" t="s">
        <v>9</v>
      </c>
      <c r="B4">
        <v>48.309178743961354</v>
      </c>
      <c r="C4">
        <v>72.44</v>
      </c>
      <c r="D4">
        <v>47.842311740503298</v>
      </c>
      <c r="E4">
        <v>72.52</v>
      </c>
      <c r="F4">
        <v>51.275277686393835</v>
      </c>
      <c r="G4">
        <v>73.61</v>
      </c>
    </row>
    <row r="5" spans="1:7" x14ac:dyDescent="0.2">
      <c r="A5" t="s">
        <v>40</v>
      </c>
      <c r="B5">
        <v>55.401999679776445</v>
      </c>
      <c r="C5">
        <v>72.510000000000005</v>
      </c>
      <c r="D5">
        <v>54.463264528075818</v>
      </c>
      <c r="E5">
        <v>75.319999999999993</v>
      </c>
      <c r="F5">
        <v>58.36562703477167</v>
      </c>
      <c r="G5">
        <v>70.86</v>
      </c>
    </row>
    <row r="6" spans="1:7" x14ac:dyDescent="0.2">
      <c r="A6" t="s">
        <v>0</v>
      </c>
      <c r="B6">
        <v>64.102564102564102</v>
      </c>
      <c r="C6">
        <v>72.3</v>
      </c>
      <c r="D6">
        <v>62.578222778473084</v>
      </c>
      <c r="E6">
        <v>73.260000000000005</v>
      </c>
      <c r="F6">
        <v>65.598289196617756</v>
      </c>
      <c r="G6">
        <v>74.89</v>
      </c>
    </row>
    <row r="7" spans="1:7" x14ac:dyDescent="0.2">
      <c r="A7" t="s">
        <v>41</v>
      </c>
      <c r="B7">
        <v>70.656397936833173</v>
      </c>
      <c r="C7">
        <v>73.12</v>
      </c>
      <c r="D7">
        <v>72.196953288571223</v>
      </c>
      <c r="E7">
        <v>73.180000000000007</v>
      </c>
      <c r="F7">
        <v>77.029733477122164</v>
      </c>
      <c r="G7">
        <v>72.94</v>
      </c>
    </row>
    <row r="8" spans="1:7" x14ac:dyDescent="0.2">
      <c r="A8" t="s">
        <v>42</v>
      </c>
      <c r="B8">
        <v>28.490028490028489</v>
      </c>
      <c r="C8">
        <v>76.099999999999994</v>
      </c>
      <c r="D8">
        <v>29.840146336077634</v>
      </c>
      <c r="E8">
        <v>73.97</v>
      </c>
      <c r="F8">
        <v>30.135114704341827</v>
      </c>
      <c r="G8">
        <v>75.510000000000005</v>
      </c>
    </row>
    <row r="9" spans="1:7" x14ac:dyDescent="0.2">
      <c r="A9" t="s">
        <v>43</v>
      </c>
      <c r="B9">
        <v>72.463768115942031</v>
      </c>
      <c r="C9">
        <v>68.760000000000005</v>
      </c>
      <c r="D9">
        <v>75.328431963360259</v>
      </c>
      <c r="E9">
        <v>71.16</v>
      </c>
      <c r="F9">
        <v>79.995456258084545</v>
      </c>
      <c r="G9">
        <v>69.33</v>
      </c>
    </row>
    <row r="12" spans="1:7" x14ac:dyDescent="0.2">
      <c r="A12" t="s">
        <v>39</v>
      </c>
      <c r="B12" t="s">
        <v>31</v>
      </c>
      <c r="C12" t="s">
        <v>22</v>
      </c>
    </row>
    <row r="13" spans="1:7" x14ac:dyDescent="0.2">
      <c r="A13" t="s">
        <v>1</v>
      </c>
      <c r="B13">
        <v>43.103448275862071</v>
      </c>
      <c r="C13">
        <v>71.02</v>
      </c>
    </row>
    <row r="14" spans="1:7" x14ac:dyDescent="0.2">
      <c r="A14" t="s">
        <v>1</v>
      </c>
      <c r="B14">
        <v>45.021317593880703</v>
      </c>
      <c r="C14">
        <v>73.040000000000006</v>
      </c>
    </row>
    <row r="15" spans="1:7" x14ac:dyDescent="0.2">
      <c r="A15" t="s">
        <v>1</v>
      </c>
      <c r="B15">
        <v>44.426042190523752</v>
      </c>
      <c r="C15">
        <v>72.459999999999994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F00E-1A6A-D84B-8C35-B848F1CEA6DA}">
  <dimension ref="A1:E25"/>
  <sheetViews>
    <sheetView workbookViewId="0">
      <selection activeCell="E16" sqref="A14:E16"/>
    </sheetView>
  </sheetViews>
  <sheetFormatPr baseColWidth="10" defaultRowHeight="15" x14ac:dyDescent="0.2"/>
  <sheetData>
    <row r="1" spans="1:5" x14ac:dyDescent="0.2">
      <c r="A1" t="s">
        <v>39</v>
      </c>
      <c r="B1" t="s">
        <v>31</v>
      </c>
      <c r="C1" t="s">
        <v>22</v>
      </c>
      <c r="D1" t="s">
        <v>4</v>
      </c>
      <c r="E1" t="s">
        <v>35</v>
      </c>
    </row>
    <row r="2" spans="1:5" x14ac:dyDescent="0.2">
      <c r="A2" t="s">
        <v>1</v>
      </c>
      <c r="B2">
        <v>43.103448275862071</v>
      </c>
      <c r="C2">
        <v>71.02</v>
      </c>
      <c r="D2" s="4">
        <v>91.33</v>
      </c>
      <c r="E2" s="4">
        <v>16234.273999999999</v>
      </c>
    </row>
    <row r="3" spans="1:5" x14ac:dyDescent="0.2">
      <c r="A3" t="s">
        <v>1</v>
      </c>
      <c r="B3">
        <v>44.426042190523752</v>
      </c>
      <c r="C3">
        <v>72.459999999999994</v>
      </c>
      <c r="D3">
        <v>91.78</v>
      </c>
      <c r="E3" s="4">
        <v>16244.273999999999</v>
      </c>
    </row>
    <row r="4" spans="1:5" x14ac:dyDescent="0.2">
      <c r="A4" t="s">
        <v>1</v>
      </c>
      <c r="B4">
        <v>45.021317593880703</v>
      </c>
      <c r="C4">
        <v>73.040000000000006</v>
      </c>
      <c r="D4" s="4">
        <v>94.26</v>
      </c>
      <c r="E4" s="4">
        <v>16254.535397</v>
      </c>
    </row>
    <row r="5" spans="1:5" x14ac:dyDescent="0.2">
      <c r="A5" t="s">
        <v>2</v>
      </c>
      <c r="B5">
        <v>57.471264367816097</v>
      </c>
      <c r="C5">
        <v>70.819999999999993</v>
      </c>
      <c r="D5" s="4">
        <v>91.41</v>
      </c>
      <c r="E5">
        <v>2813.3399979999999</v>
      </c>
    </row>
    <row r="6" spans="1:5" x14ac:dyDescent="0.2">
      <c r="B6">
        <v>60.864272671941571</v>
      </c>
      <c r="C6">
        <v>70.150000000000006</v>
      </c>
      <c r="D6" s="4">
        <v>91.48</v>
      </c>
      <c r="E6" s="4">
        <v>3032.03</v>
      </c>
    </row>
    <row r="7" spans="1:5" x14ac:dyDescent="0.2">
      <c r="B7">
        <v>63.6103990280331</v>
      </c>
      <c r="C7">
        <v>70.53</v>
      </c>
      <c r="D7">
        <v>91.98</v>
      </c>
      <c r="E7" s="4">
        <v>3264.9805500000002</v>
      </c>
    </row>
    <row r="8" spans="1:5" x14ac:dyDescent="0.2">
      <c r="A8" t="s">
        <v>9</v>
      </c>
      <c r="B8">
        <v>47.842311740503298</v>
      </c>
      <c r="C8">
        <v>72.52</v>
      </c>
      <c r="D8" s="4">
        <v>91.55</v>
      </c>
      <c r="E8">
        <v>12237.431791999999</v>
      </c>
    </row>
    <row r="9" spans="1:5" x14ac:dyDescent="0.2">
      <c r="B9">
        <v>48.309178743961354</v>
      </c>
      <c r="C9">
        <v>72.44</v>
      </c>
      <c r="D9" s="4">
        <v>92.03</v>
      </c>
      <c r="E9" s="4">
        <v>12273.1</v>
      </c>
    </row>
    <row r="10" spans="1:5" x14ac:dyDescent="0.2">
      <c r="B10">
        <v>51.275277686393835</v>
      </c>
      <c r="C10">
        <v>73.61</v>
      </c>
      <c r="D10">
        <v>92.74</v>
      </c>
      <c r="E10" s="4">
        <v>12364.896309</v>
      </c>
    </row>
    <row r="11" spans="1:5" x14ac:dyDescent="0.2">
      <c r="A11" t="s">
        <v>40</v>
      </c>
      <c r="B11">
        <v>54.463264528075818</v>
      </c>
      <c r="C11">
        <v>75.319999999999993</v>
      </c>
      <c r="D11" s="4">
        <v>91.9</v>
      </c>
      <c r="E11">
        <v>6053.8647700000001</v>
      </c>
    </row>
    <row r="12" spans="1:5" x14ac:dyDescent="0.2">
      <c r="B12">
        <v>55.401999679776445</v>
      </c>
      <c r="C12">
        <v>72.510000000000005</v>
      </c>
      <c r="D12">
        <v>92.96</v>
      </c>
      <c r="E12" s="4">
        <v>6346.3249999999998</v>
      </c>
    </row>
    <row r="13" spans="1:5" x14ac:dyDescent="0.2">
      <c r="B13">
        <v>58.36562703477167</v>
      </c>
      <c r="C13">
        <v>70.86</v>
      </c>
      <c r="D13" s="5">
        <v>94.35</v>
      </c>
      <c r="E13" s="4">
        <v>7082.8</v>
      </c>
    </row>
    <row r="14" spans="1:5" x14ac:dyDescent="0.2">
      <c r="A14" t="s">
        <v>0</v>
      </c>
      <c r="B14">
        <v>62.578222778473084</v>
      </c>
      <c r="C14">
        <v>73.260000000000005</v>
      </c>
      <c r="D14">
        <v>91.54</v>
      </c>
      <c r="E14">
        <v>14530.9465</v>
      </c>
    </row>
    <row r="15" spans="1:5" x14ac:dyDescent="0.2">
      <c r="B15">
        <v>64.102564102564102</v>
      </c>
      <c r="C15">
        <v>72.3</v>
      </c>
      <c r="D15" s="4">
        <v>91.62</v>
      </c>
      <c r="E15" s="4">
        <v>14550.816699999999</v>
      </c>
    </row>
    <row r="16" spans="1:5" x14ac:dyDescent="0.2">
      <c r="B16">
        <v>65.598289196617756</v>
      </c>
      <c r="C16">
        <v>74.89</v>
      </c>
      <c r="D16" s="4">
        <v>92.44</v>
      </c>
      <c r="E16" s="4">
        <v>14599.9617</v>
      </c>
    </row>
    <row r="17" spans="1:5" x14ac:dyDescent="0.2">
      <c r="A17" t="s">
        <v>41</v>
      </c>
      <c r="B17">
        <v>70.656397936833173</v>
      </c>
      <c r="C17">
        <v>73.12</v>
      </c>
      <c r="D17" s="4">
        <v>91.62</v>
      </c>
      <c r="E17">
        <v>4807.3312900000001</v>
      </c>
    </row>
    <row r="18" spans="1:5" x14ac:dyDescent="0.2">
      <c r="B18">
        <v>72.196953288571223</v>
      </c>
      <c r="C18">
        <v>73.180000000000007</v>
      </c>
      <c r="D18" s="4">
        <v>91.89</v>
      </c>
      <c r="E18" s="4">
        <v>5096.1018999999997</v>
      </c>
    </row>
    <row r="19" spans="1:5" x14ac:dyDescent="0.2">
      <c r="B19">
        <v>77.029733477122164</v>
      </c>
      <c r="C19">
        <v>72.94</v>
      </c>
      <c r="D19">
        <v>92.98</v>
      </c>
      <c r="E19" s="4">
        <v>5130.2103900000002</v>
      </c>
    </row>
    <row r="20" spans="1:5" x14ac:dyDescent="0.2">
      <c r="A20" t="s">
        <v>42</v>
      </c>
      <c r="B20">
        <v>28.490028490028489</v>
      </c>
      <c r="C20">
        <v>76.099999999999994</v>
      </c>
      <c r="D20" s="4">
        <v>91.01</v>
      </c>
      <c r="E20" s="4">
        <v>105699.01</v>
      </c>
    </row>
    <row r="21" spans="1:5" x14ac:dyDescent="0.2">
      <c r="B21">
        <v>29.840146336077634</v>
      </c>
      <c r="C21">
        <v>73.97</v>
      </c>
      <c r="D21">
        <v>91.32</v>
      </c>
      <c r="E21" s="4">
        <v>110261.06581</v>
      </c>
    </row>
    <row r="22" spans="1:5" x14ac:dyDescent="0.2">
      <c r="B22">
        <v>30.135114704341827</v>
      </c>
      <c r="C22">
        <v>75.510000000000005</v>
      </c>
      <c r="D22" s="4">
        <v>91.57</v>
      </c>
      <c r="E22">
        <v>110942.99787000001</v>
      </c>
    </row>
    <row r="23" spans="1:5" x14ac:dyDescent="0.2">
      <c r="A23" t="s">
        <v>43</v>
      </c>
      <c r="B23">
        <v>72.463768115942031</v>
      </c>
      <c r="C23">
        <v>68.760000000000005</v>
      </c>
      <c r="D23" s="4">
        <v>92.54</v>
      </c>
      <c r="E23">
        <v>3380.8708999999999</v>
      </c>
    </row>
    <row r="24" spans="1:5" x14ac:dyDescent="0.2">
      <c r="B24">
        <v>75.328431963360259</v>
      </c>
      <c r="C24">
        <v>71.16</v>
      </c>
      <c r="D24">
        <v>93.12</v>
      </c>
      <c r="E24" s="4">
        <v>3627.4868999999999</v>
      </c>
    </row>
    <row r="25" spans="1:5" x14ac:dyDescent="0.2">
      <c r="B25">
        <v>79.995456258084545</v>
      </c>
      <c r="C25">
        <v>69.33</v>
      </c>
      <c r="D25" s="4">
        <v>94.27</v>
      </c>
      <c r="E25" s="4">
        <v>3795.9449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F0CE-A847-D040-A78F-963F2C7CAAF8}">
  <dimension ref="A1:H25"/>
  <sheetViews>
    <sheetView tabSelected="1" workbookViewId="0">
      <selection activeCell="J20" sqref="J20"/>
    </sheetView>
  </sheetViews>
  <sheetFormatPr baseColWidth="10" defaultRowHeight="15" x14ac:dyDescent="0.2"/>
  <sheetData>
    <row r="1" spans="1:8" x14ac:dyDescent="0.2">
      <c r="A1" t="s">
        <v>39</v>
      </c>
      <c r="B1" t="s">
        <v>31</v>
      </c>
      <c r="C1" t="s">
        <v>22</v>
      </c>
      <c r="D1" t="s">
        <v>4</v>
      </c>
      <c r="E1" t="s">
        <v>35</v>
      </c>
      <c r="F1" t="s">
        <v>64</v>
      </c>
      <c r="G1" t="s">
        <v>51</v>
      </c>
      <c r="H1" t="s">
        <v>60</v>
      </c>
    </row>
    <row r="2" spans="1:8" x14ac:dyDescent="0.2">
      <c r="A2" t="s">
        <v>1</v>
      </c>
      <c r="B2">
        <v>43.103448275862071</v>
      </c>
      <c r="C2">
        <v>71.02</v>
      </c>
      <c r="D2" s="4">
        <v>91.33</v>
      </c>
      <c r="E2" s="4">
        <v>16234.273999999999</v>
      </c>
      <c r="F2" s="2">
        <v>39.630000000000003</v>
      </c>
      <c r="G2">
        <v>72.173333333333332</v>
      </c>
      <c r="H2">
        <v>1.0400641005886808</v>
      </c>
    </row>
    <row r="3" spans="1:8" x14ac:dyDescent="0.2">
      <c r="A3" t="s">
        <v>1</v>
      </c>
      <c r="B3">
        <v>44.426042190523752</v>
      </c>
      <c r="C3">
        <v>72.459999999999994</v>
      </c>
      <c r="D3">
        <v>91.78</v>
      </c>
      <c r="E3" s="4">
        <v>16244.273999999999</v>
      </c>
      <c r="F3" s="2">
        <v>39.630000000000003</v>
      </c>
    </row>
    <row r="4" spans="1:8" x14ac:dyDescent="0.2">
      <c r="A4" t="s">
        <v>1</v>
      </c>
      <c r="B4">
        <v>45.021317593880703</v>
      </c>
      <c r="C4">
        <v>73.040000000000006</v>
      </c>
      <c r="D4" s="4">
        <v>94.26</v>
      </c>
      <c r="E4" s="4">
        <v>16254.535397</v>
      </c>
      <c r="F4" s="2">
        <v>39.630000000000003</v>
      </c>
    </row>
    <row r="5" spans="1:8" x14ac:dyDescent="0.2">
      <c r="A5" t="s">
        <v>2</v>
      </c>
      <c r="B5">
        <v>57.471264367816097</v>
      </c>
      <c r="C5">
        <v>70.819999999999993</v>
      </c>
      <c r="D5" s="4">
        <v>91.41</v>
      </c>
      <c r="E5">
        <v>2813.3399979999999</v>
      </c>
      <c r="F5" s="2">
        <v>3.22</v>
      </c>
      <c r="G5">
        <v>70.5</v>
      </c>
      <c r="H5">
        <v>0.33600595232822272</v>
      </c>
    </row>
    <row r="6" spans="1:8" x14ac:dyDescent="0.2">
      <c r="B6">
        <v>60.864272671941571</v>
      </c>
      <c r="C6">
        <v>70.150000000000006</v>
      </c>
      <c r="D6" s="4">
        <v>91.48</v>
      </c>
      <c r="E6" s="4">
        <v>3032.03</v>
      </c>
      <c r="F6" s="2">
        <v>3.22</v>
      </c>
    </row>
    <row r="7" spans="1:8" x14ac:dyDescent="0.2">
      <c r="B7">
        <v>63.6103990280331</v>
      </c>
      <c r="C7">
        <v>70.53</v>
      </c>
      <c r="D7">
        <v>91.98</v>
      </c>
      <c r="E7" s="4">
        <v>3264.9805500000002</v>
      </c>
      <c r="F7" s="2">
        <v>3.22</v>
      </c>
    </row>
    <row r="8" spans="1:8" x14ac:dyDescent="0.2">
      <c r="A8" t="s">
        <v>9</v>
      </c>
      <c r="B8">
        <v>47.842311740503298</v>
      </c>
      <c r="C8">
        <v>72.52</v>
      </c>
      <c r="D8" s="4">
        <v>91.55</v>
      </c>
      <c r="E8">
        <v>12237.431791999999</v>
      </c>
      <c r="F8" s="2">
        <v>32.950000000000003</v>
      </c>
      <c r="G8">
        <v>72.856666666666669</v>
      </c>
      <c r="H8">
        <v>0.65363088462322161</v>
      </c>
    </row>
    <row r="9" spans="1:8" x14ac:dyDescent="0.2">
      <c r="B9">
        <v>48.309178743961354</v>
      </c>
      <c r="C9">
        <v>72.44</v>
      </c>
      <c r="D9" s="4">
        <v>92.03</v>
      </c>
      <c r="E9" s="4">
        <v>12273.1</v>
      </c>
      <c r="F9" s="2">
        <v>32.950000000000003</v>
      </c>
    </row>
    <row r="10" spans="1:8" x14ac:dyDescent="0.2">
      <c r="B10">
        <v>51.275277686393835</v>
      </c>
      <c r="C10">
        <v>73.61</v>
      </c>
      <c r="D10">
        <v>92.74</v>
      </c>
      <c r="E10" s="4">
        <v>12364.896309</v>
      </c>
      <c r="F10" s="2">
        <v>32.950000000000003</v>
      </c>
    </row>
    <row r="11" spans="1:8" x14ac:dyDescent="0.2">
      <c r="A11" t="s">
        <v>40</v>
      </c>
      <c r="B11">
        <v>54.463264528075818</v>
      </c>
      <c r="C11">
        <v>75.319999999999993</v>
      </c>
      <c r="D11" s="4">
        <v>91.9</v>
      </c>
      <c r="E11">
        <v>6053.8647700000001</v>
      </c>
      <c r="F11" s="2">
        <v>0.36</v>
      </c>
      <c r="G11">
        <v>72.896666666666661</v>
      </c>
      <c r="H11">
        <v>2.2550018477449894</v>
      </c>
    </row>
    <row r="12" spans="1:8" x14ac:dyDescent="0.2">
      <c r="B12">
        <v>55.401999679776445</v>
      </c>
      <c r="C12">
        <v>72.510000000000005</v>
      </c>
      <c r="D12">
        <v>92.96</v>
      </c>
      <c r="E12" s="4">
        <v>6346.3249999999998</v>
      </c>
      <c r="F12" s="2">
        <v>0.36</v>
      </c>
    </row>
    <row r="13" spans="1:8" x14ac:dyDescent="0.2">
      <c r="B13">
        <v>58.36562703477167</v>
      </c>
      <c r="C13">
        <v>70.86</v>
      </c>
      <c r="D13" s="5">
        <v>94.35</v>
      </c>
      <c r="E13" s="4">
        <v>7082.8</v>
      </c>
      <c r="F13" s="2">
        <v>0.36</v>
      </c>
    </row>
    <row r="14" spans="1:8" x14ac:dyDescent="0.2">
      <c r="A14" t="s">
        <v>0</v>
      </c>
      <c r="B14">
        <v>62.578222778473084</v>
      </c>
      <c r="C14">
        <v>73.260000000000005</v>
      </c>
      <c r="D14">
        <v>91.54</v>
      </c>
      <c r="E14">
        <v>14530.9465</v>
      </c>
      <c r="F14">
        <v>13.39</v>
      </c>
      <c r="G14">
        <v>73.033333333333005</v>
      </c>
      <c r="H14">
        <v>1.309363713157401</v>
      </c>
    </row>
    <row r="15" spans="1:8" x14ac:dyDescent="0.2">
      <c r="B15">
        <v>64.102564102564102</v>
      </c>
      <c r="C15">
        <v>72.3</v>
      </c>
      <c r="D15" s="4">
        <v>91.62</v>
      </c>
      <c r="E15" s="4">
        <v>14550.816699999999</v>
      </c>
      <c r="F15">
        <v>13.39</v>
      </c>
    </row>
    <row r="16" spans="1:8" x14ac:dyDescent="0.2">
      <c r="B16">
        <v>65.598289196617756</v>
      </c>
      <c r="C16">
        <v>74.89</v>
      </c>
      <c r="D16" s="4">
        <v>92.44</v>
      </c>
      <c r="E16" s="4">
        <v>14599.9617</v>
      </c>
      <c r="F16">
        <v>13.39</v>
      </c>
    </row>
    <row r="17" spans="1:8" x14ac:dyDescent="0.2">
      <c r="A17" t="s">
        <v>41</v>
      </c>
      <c r="B17">
        <v>70.656397936833173</v>
      </c>
      <c r="C17">
        <v>73.12</v>
      </c>
      <c r="D17" s="4">
        <v>91.62</v>
      </c>
      <c r="E17">
        <v>4807.3312900000001</v>
      </c>
      <c r="F17" s="2">
        <v>0.41</v>
      </c>
      <c r="G17">
        <v>73.08</v>
      </c>
      <c r="H17">
        <v>0.12489995996797269</v>
      </c>
    </row>
    <row r="18" spans="1:8" x14ac:dyDescent="0.2">
      <c r="B18">
        <v>72.196953288571223</v>
      </c>
      <c r="C18">
        <v>73.180000000000007</v>
      </c>
      <c r="D18" s="4">
        <v>91.89</v>
      </c>
      <c r="E18" s="4">
        <v>5096.1018999999997</v>
      </c>
      <c r="F18" s="2">
        <v>0.41</v>
      </c>
    </row>
    <row r="19" spans="1:8" x14ac:dyDescent="0.2">
      <c r="B19">
        <v>77.029733477122164</v>
      </c>
      <c r="C19">
        <v>72.94</v>
      </c>
      <c r="D19">
        <v>92.98</v>
      </c>
      <c r="E19" s="4">
        <v>5130.2103900000002</v>
      </c>
      <c r="F19" s="2">
        <v>0.41</v>
      </c>
    </row>
    <row r="20" spans="1:8" x14ac:dyDescent="0.2">
      <c r="A20" t="s">
        <v>42</v>
      </c>
      <c r="B20">
        <v>28.490028490028489</v>
      </c>
      <c r="C20">
        <v>76.099999999999994</v>
      </c>
      <c r="D20" s="4">
        <v>91.01</v>
      </c>
      <c r="E20" s="4">
        <v>105699.01</v>
      </c>
      <c r="F20" s="2">
        <v>30.9</v>
      </c>
      <c r="G20">
        <v>75.193333333333328</v>
      </c>
      <c r="H20">
        <v>1.0997423940784183</v>
      </c>
    </row>
    <row r="21" spans="1:8" x14ac:dyDescent="0.2">
      <c r="B21">
        <v>29.840146336077634</v>
      </c>
      <c r="C21">
        <v>73.97</v>
      </c>
      <c r="D21">
        <v>91.32</v>
      </c>
      <c r="E21" s="4">
        <v>110261.06581</v>
      </c>
      <c r="F21" s="2">
        <v>30.9</v>
      </c>
    </row>
    <row r="22" spans="1:8" x14ac:dyDescent="0.2">
      <c r="B22">
        <v>30.135114704341827</v>
      </c>
      <c r="C22">
        <v>75.510000000000005</v>
      </c>
      <c r="D22" s="4">
        <v>91.57</v>
      </c>
      <c r="E22">
        <v>110942.99787000001</v>
      </c>
      <c r="F22" s="2">
        <v>30.9</v>
      </c>
    </row>
    <row r="23" spans="1:8" x14ac:dyDescent="0.2">
      <c r="D23" s="4"/>
    </row>
    <row r="24" spans="1:8" x14ac:dyDescent="0.2">
      <c r="E24" s="4"/>
    </row>
    <row r="25" spans="1:8" x14ac:dyDescent="0.2">
      <c r="D25" s="4"/>
      <c r="E25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0DD5-84B7-6D48-AA34-C5D01028957B}">
  <dimension ref="A1:R9"/>
  <sheetViews>
    <sheetView workbookViewId="0">
      <selection activeCell="R6" sqref="A6:R6"/>
    </sheetView>
  </sheetViews>
  <sheetFormatPr baseColWidth="10" defaultColWidth="8.83203125" defaultRowHeight="15" x14ac:dyDescent="0.2"/>
  <cols>
    <col min="1" max="1" width="14.1640625" customWidth="1"/>
    <col min="2" max="2" width="14.33203125" customWidth="1"/>
    <col min="4" max="4" width="9.1640625" bestFit="1" customWidth="1"/>
  </cols>
  <sheetData>
    <row r="1" spans="1:18" x14ac:dyDescent="0.2">
      <c r="A1" t="s">
        <v>39</v>
      </c>
      <c r="B1" t="s">
        <v>3</v>
      </c>
      <c r="C1" t="s">
        <v>56</v>
      </c>
      <c r="D1" t="s">
        <v>55</v>
      </c>
      <c r="E1" t="s">
        <v>4</v>
      </c>
      <c r="F1" t="s">
        <v>57</v>
      </c>
      <c r="G1" t="s">
        <v>5</v>
      </c>
      <c r="H1" t="s">
        <v>58</v>
      </c>
      <c r="I1" t="s">
        <v>21</v>
      </c>
      <c r="J1" t="s">
        <v>59</v>
      </c>
      <c r="K1" t="s">
        <v>22</v>
      </c>
      <c r="L1" t="s">
        <v>60</v>
      </c>
      <c r="M1" t="s">
        <v>10</v>
      </c>
      <c r="N1" t="s">
        <v>61</v>
      </c>
      <c r="O1" t="s">
        <v>31</v>
      </c>
      <c r="P1" t="s">
        <v>62</v>
      </c>
      <c r="Q1" t="s">
        <v>34</v>
      </c>
      <c r="R1" t="s">
        <v>63</v>
      </c>
    </row>
    <row r="2" spans="1:18" x14ac:dyDescent="0.2">
      <c r="A2" t="s">
        <v>1</v>
      </c>
      <c r="B2">
        <v>16244.361132333332</v>
      </c>
      <c r="C2">
        <v>10.130979524731975</v>
      </c>
      <c r="D2">
        <v>39.630000000000003</v>
      </c>
      <c r="E2">
        <v>92.456666666666663</v>
      </c>
      <c r="F2">
        <v>1.5778571967492316</v>
      </c>
      <c r="G2">
        <v>76.73</v>
      </c>
      <c r="H2">
        <v>2.2198198125073088</v>
      </c>
      <c r="I2">
        <v>76.73</v>
      </c>
      <c r="J2">
        <v>2.2198198125073088</v>
      </c>
      <c r="K2">
        <v>72.173333333333332</v>
      </c>
      <c r="L2">
        <v>1.0400641005886808</v>
      </c>
      <c r="M2">
        <v>2.2640339999999998E-2</v>
      </c>
      <c r="N2">
        <v>5.0700976598089188E-4</v>
      </c>
      <c r="O2">
        <v>44.183602686755506</v>
      </c>
      <c r="P2">
        <v>0.98165083659611729</v>
      </c>
      <c r="Q2">
        <v>83.833082748651293</v>
      </c>
      <c r="R2">
        <v>0.70075947993982313</v>
      </c>
    </row>
    <row r="3" spans="1:18" x14ac:dyDescent="0.2">
      <c r="A3" t="s">
        <v>2</v>
      </c>
      <c r="B3">
        <v>3036.783516</v>
      </c>
      <c r="C3">
        <v>225.8577959435714</v>
      </c>
      <c r="D3">
        <v>3.22</v>
      </c>
      <c r="E3">
        <v>91.623333333333335</v>
      </c>
      <c r="F3">
        <v>0.31085902485424949</v>
      </c>
      <c r="G3">
        <v>75.353333333333339</v>
      </c>
      <c r="H3">
        <v>0.44162578427140409</v>
      </c>
      <c r="I3">
        <v>75.353333333333339</v>
      </c>
      <c r="J3">
        <v>0.44162578427140409</v>
      </c>
      <c r="K3">
        <v>70.5</v>
      </c>
      <c r="L3">
        <v>0.33600595232822272</v>
      </c>
      <c r="M3">
        <v>1.6516900000000001E-2</v>
      </c>
      <c r="N3">
        <v>8.4301591325431008E-4</v>
      </c>
      <c r="O3">
        <v>60.648645355930256</v>
      </c>
      <c r="P3">
        <v>3.0752422585264916</v>
      </c>
      <c r="Q3">
        <v>82.694772913607892</v>
      </c>
      <c r="R3">
        <v>0.22970707792123285</v>
      </c>
    </row>
    <row r="4" spans="1:18" x14ac:dyDescent="0.2">
      <c r="A4" t="s">
        <v>9</v>
      </c>
      <c r="B4">
        <v>12291.809367</v>
      </c>
      <c r="C4">
        <v>65.759646316463304</v>
      </c>
      <c r="D4">
        <v>32.950000000000003</v>
      </c>
      <c r="E4">
        <v>92.106666666666669</v>
      </c>
      <c r="F4">
        <v>0.5986930209492437</v>
      </c>
      <c r="G4">
        <v>77.7</v>
      </c>
      <c r="H4">
        <v>0.41036569057366046</v>
      </c>
      <c r="I4">
        <v>77.7</v>
      </c>
      <c r="J4">
        <v>0.41036569057366046</v>
      </c>
      <c r="K4">
        <v>72.856666666666669</v>
      </c>
      <c r="L4">
        <v>0.65363088462322161</v>
      </c>
      <c r="M4">
        <v>2.0368192E-2</v>
      </c>
      <c r="N4">
        <v>7.5641872966763558E-4</v>
      </c>
      <c r="O4">
        <v>49.142256056952839</v>
      </c>
      <c r="P4">
        <v>1.8619417696256908</v>
      </c>
      <c r="Q4">
        <v>84.291746385689279</v>
      </c>
      <c r="R4">
        <v>0.43480649244423203</v>
      </c>
    </row>
    <row r="5" spans="1:18" x14ac:dyDescent="0.2">
      <c r="A5" t="s">
        <v>40</v>
      </c>
      <c r="B5">
        <v>6494.3299233333337</v>
      </c>
      <c r="C5">
        <v>530.19432275531551</v>
      </c>
      <c r="D5">
        <v>0.36</v>
      </c>
      <c r="E5">
        <v>93.07</v>
      </c>
      <c r="F5">
        <v>1.2286984984120339</v>
      </c>
      <c r="G5">
        <v>77.12</v>
      </c>
      <c r="H5">
        <v>3.1093568466806785</v>
      </c>
      <c r="I5">
        <v>77.12</v>
      </c>
      <c r="J5">
        <v>3.1093568466806785</v>
      </c>
      <c r="K5">
        <v>72.896666666666661</v>
      </c>
      <c r="L5">
        <v>2.2550018477449894</v>
      </c>
      <c r="M5">
        <v>1.7848087333333335E-2</v>
      </c>
      <c r="N5">
        <v>6.3820910664243267E-4</v>
      </c>
      <c r="O5">
        <v>56.076963747541306</v>
      </c>
      <c r="P5">
        <v>2.0368580345710532</v>
      </c>
      <c r="Q5">
        <v>84.311925111317905</v>
      </c>
      <c r="R5">
        <v>1.5013968372606212</v>
      </c>
    </row>
    <row r="6" spans="1:18" x14ac:dyDescent="0.2">
      <c r="A6" t="s">
        <v>0</v>
      </c>
      <c r="B6">
        <v>14560.574966666667</v>
      </c>
      <c r="C6">
        <v>35.527345580740089</v>
      </c>
      <c r="D6">
        <v>13.39</v>
      </c>
      <c r="E6">
        <v>91.866666666666674</v>
      </c>
      <c r="F6">
        <v>0.49812983581926595</v>
      </c>
      <c r="G6">
        <v>78.61</v>
      </c>
      <c r="H6">
        <v>1.8066820417549954</v>
      </c>
      <c r="I6">
        <v>78.61</v>
      </c>
      <c r="J6">
        <v>1.8066820417549954</v>
      </c>
      <c r="K6">
        <v>73.483333333333334</v>
      </c>
      <c r="L6">
        <v>1.309363713157401</v>
      </c>
      <c r="M6">
        <v>1.56081E-2</v>
      </c>
      <c r="N6">
        <v>3.679168791996369E-4</v>
      </c>
      <c r="O6">
        <v>64.093025359218316</v>
      </c>
      <c r="P6">
        <v>1.5100558046707284</v>
      </c>
      <c r="Q6">
        <v>84.711985181749455</v>
      </c>
      <c r="R6">
        <v>0.8672883150422569</v>
      </c>
    </row>
    <row r="7" spans="1:18" x14ac:dyDescent="0.2">
      <c r="A7" t="s">
        <v>41</v>
      </c>
      <c r="B7">
        <v>5011.2145266666666</v>
      </c>
      <c r="C7">
        <v>177.38976271977199</v>
      </c>
      <c r="D7">
        <v>0.41</v>
      </c>
      <c r="E7">
        <v>92.163333333333341</v>
      </c>
      <c r="F7">
        <v>0.7200231477760517</v>
      </c>
      <c r="G7">
        <v>77.929999999999993</v>
      </c>
      <c r="H7">
        <v>0.64366140167016372</v>
      </c>
      <c r="I7">
        <v>77.929999999999993</v>
      </c>
      <c r="J7">
        <v>0.64366140167016372</v>
      </c>
      <c r="K7">
        <v>73.08</v>
      </c>
      <c r="L7">
        <v>0.12489995996797269</v>
      </c>
      <c r="M7">
        <v>1.3662000000000001E-2</v>
      </c>
      <c r="N7">
        <v>6.0794818858188901E-4</v>
      </c>
      <c r="O7">
        <v>73.294361567508858</v>
      </c>
      <c r="P7">
        <v>3.3253691787962931</v>
      </c>
      <c r="Q7">
        <v>84.44754564708758</v>
      </c>
      <c r="R7">
        <v>8.5342350207104525E-2</v>
      </c>
    </row>
    <row r="8" spans="1:18" x14ac:dyDescent="0.2">
      <c r="A8" t="s">
        <v>42</v>
      </c>
      <c r="B8">
        <v>108967.69122666668</v>
      </c>
      <c r="C8">
        <v>2851.2217652764784</v>
      </c>
      <c r="D8">
        <v>30.9</v>
      </c>
      <c r="E8">
        <v>91.3</v>
      </c>
      <c r="F8">
        <v>0.28053520278210459</v>
      </c>
      <c r="G8">
        <v>81</v>
      </c>
      <c r="H8">
        <v>1.4862368586466936</v>
      </c>
      <c r="I8">
        <v>81</v>
      </c>
      <c r="J8">
        <v>1.4862368586466936</v>
      </c>
      <c r="K8">
        <v>75.193333333333328</v>
      </c>
      <c r="L8">
        <v>1.0997423940784183</v>
      </c>
      <c r="M8">
        <v>3.3931926333333334E-2</v>
      </c>
      <c r="N8">
        <v>1.0247909602354686E-3</v>
      </c>
      <c r="O8">
        <v>29.488429843482649</v>
      </c>
      <c r="P8">
        <v>0.87712914186192403</v>
      </c>
      <c r="Q8">
        <v>85.835635932823109</v>
      </c>
      <c r="R8">
        <v>0.71895862159947488</v>
      </c>
    </row>
    <row r="9" spans="1:18" x14ac:dyDescent="0.2">
      <c r="A9" t="s">
        <v>43</v>
      </c>
      <c r="B9">
        <v>3601.4342333333334</v>
      </c>
      <c r="C9">
        <v>208.75982000694805</v>
      </c>
      <c r="D9">
        <v>0.41</v>
      </c>
      <c r="E9">
        <v>93.31</v>
      </c>
      <c r="F9">
        <v>0.88051121514719533</v>
      </c>
      <c r="G9">
        <v>73.44</v>
      </c>
      <c r="H9">
        <v>1.8923266102869196</v>
      </c>
      <c r="I9">
        <v>73.44</v>
      </c>
      <c r="J9">
        <v>1.8923266102869196</v>
      </c>
      <c r="K9">
        <v>69.75</v>
      </c>
      <c r="L9">
        <v>1.2539138726403782</v>
      </c>
      <c r="M9">
        <v>1.3191969999999999E-2</v>
      </c>
      <c r="N9">
        <v>6.5363143337816897E-4</v>
      </c>
      <c r="O9">
        <v>75.929218779128945</v>
      </c>
      <c r="P9">
        <v>3.8016167831757643</v>
      </c>
      <c r="Q9">
        <v>82.174857511164404</v>
      </c>
      <c r="R9">
        <v>0.86742532942638473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"/>
  <sheetViews>
    <sheetView workbookViewId="0">
      <selection activeCell="L8" sqref="L8"/>
    </sheetView>
  </sheetViews>
  <sheetFormatPr baseColWidth="10" defaultColWidth="8.83203125" defaultRowHeight="15" x14ac:dyDescent="0.2"/>
  <cols>
    <col min="1" max="1" width="14.1640625" customWidth="1"/>
    <col min="2" max="2" width="14.33203125" customWidth="1"/>
    <col min="4" max="4" width="9.1640625" bestFit="1" customWidth="1"/>
  </cols>
  <sheetData>
    <row r="1" spans="1:18" x14ac:dyDescent="0.2">
      <c r="A1" t="s">
        <v>39</v>
      </c>
      <c r="B1" t="s">
        <v>3</v>
      </c>
      <c r="C1" t="s">
        <v>56</v>
      </c>
      <c r="D1" t="s">
        <v>55</v>
      </c>
      <c r="E1" t="s">
        <v>4</v>
      </c>
      <c r="F1" t="s">
        <v>57</v>
      </c>
      <c r="G1" t="s">
        <v>5</v>
      </c>
      <c r="H1" t="s">
        <v>58</v>
      </c>
      <c r="I1" t="s">
        <v>21</v>
      </c>
      <c r="J1" t="s">
        <v>59</v>
      </c>
      <c r="K1" t="s">
        <v>22</v>
      </c>
      <c r="L1" t="s">
        <v>60</v>
      </c>
      <c r="M1" t="s">
        <v>10</v>
      </c>
      <c r="N1" t="s">
        <v>61</v>
      </c>
      <c r="O1" t="s">
        <v>31</v>
      </c>
      <c r="P1" t="s">
        <v>62</v>
      </c>
      <c r="Q1" t="s">
        <v>34</v>
      </c>
      <c r="R1" t="s">
        <v>63</v>
      </c>
    </row>
    <row r="2" spans="1:18" x14ac:dyDescent="0.2">
      <c r="A2" t="s">
        <v>1</v>
      </c>
      <c r="B2">
        <v>16244.361132333332</v>
      </c>
      <c r="C2">
        <v>10.130979524731975</v>
      </c>
      <c r="D2">
        <v>39.630000000000003</v>
      </c>
      <c r="E2">
        <v>92.456666666666663</v>
      </c>
      <c r="F2">
        <v>1.5778571967492316</v>
      </c>
      <c r="G2">
        <v>76.73</v>
      </c>
      <c r="H2">
        <v>2.2198198125073088</v>
      </c>
      <c r="I2">
        <v>76.73</v>
      </c>
      <c r="J2">
        <v>2.2198198125073088</v>
      </c>
      <c r="K2">
        <v>72.173333333333332</v>
      </c>
      <c r="L2">
        <v>1.0400641005886808</v>
      </c>
      <c r="M2">
        <v>2.2640339999999998E-2</v>
      </c>
      <c r="N2">
        <v>5.0700976598089188E-4</v>
      </c>
      <c r="O2">
        <v>44.183602686755506</v>
      </c>
      <c r="P2">
        <v>0.98165083659611729</v>
      </c>
      <c r="Q2">
        <v>83.833082748651293</v>
      </c>
      <c r="R2">
        <v>0.70075947993982313</v>
      </c>
    </row>
    <row r="3" spans="1:18" x14ac:dyDescent="0.2">
      <c r="A3" t="s">
        <v>2</v>
      </c>
      <c r="B3">
        <v>3036.783516</v>
      </c>
      <c r="C3">
        <v>225.8577959435714</v>
      </c>
      <c r="D3">
        <v>3.22</v>
      </c>
      <c r="E3">
        <v>91.623333333333335</v>
      </c>
      <c r="F3">
        <v>0.31085902485424949</v>
      </c>
      <c r="G3">
        <v>75.353333333333339</v>
      </c>
      <c r="H3">
        <v>0.44162578427140409</v>
      </c>
      <c r="I3">
        <v>75.353333333333339</v>
      </c>
      <c r="J3">
        <v>0.44162578427140409</v>
      </c>
      <c r="K3">
        <v>70.5</v>
      </c>
      <c r="L3">
        <v>0.33600595232822272</v>
      </c>
      <c r="M3">
        <v>1.6516900000000001E-2</v>
      </c>
      <c r="N3">
        <v>8.4301591325431008E-4</v>
      </c>
      <c r="O3">
        <v>60.648645355930256</v>
      </c>
      <c r="P3">
        <v>3.0752422585264916</v>
      </c>
      <c r="Q3">
        <v>82.694772913607892</v>
      </c>
      <c r="R3">
        <v>0.22970707792123285</v>
      </c>
    </row>
    <row r="4" spans="1:18" x14ac:dyDescent="0.2">
      <c r="A4" t="s">
        <v>9</v>
      </c>
      <c r="B4">
        <v>12291.809367</v>
      </c>
      <c r="C4">
        <v>65.759646316463304</v>
      </c>
      <c r="D4">
        <v>32.950000000000003</v>
      </c>
      <c r="E4">
        <v>92.106666666666669</v>
      </c>
      <c r="F4">
        <v>0.5986930209492437</v>
      </c>
      <c r="G4">
        <v>77.7</v>
      </c>
      <c r="H4">
        <v>0.41036569057366046</v>
      </c>
      <c r="I4">
        <v>77.7</v>
      </c>
      <c r="J4">
        <v>0.41036569057366046</v>
      </c>
      <c r="K4">
        <v>72.856666666666669</v>
      </c>
      <c r="L4">
        <v>0.65363088462322161</v>
      </c>
      <c r="M4">
        <v>2.0368192E-2</v>
      </c>
      <c r="N4">
        <v>7.5641872966763558E-4</v>
      </c>
      <c r="O4">
        <v>49.142256056952839</v>
      </c>
      <c r="P4">
        <v>1.8619417696256908</v>
      </c>
      <c r="Q4">
        <v>84.291746385689279</v>
      </c>
      <c r="R4">
        <v>0.43480649244423203</v>
      </c>
    </row>
    <row r="5" spans="1:18" x14ac:dyDescent="0.2">
      <c r="A5" t="s">
        <v>40</v>
      </c>
      <c r="B5">
        <v>6494.3299233333337</v>
      </c>
      <c r="C5">
        <v>530.19432275531551</v>
      </c>
      <c r="D5">
        <v>0.36</v>
      </c>
      <c r="E5">
        <v>93.07</v>
      </c>
      <c r="F5">
        <v>1.2286984984120339</v>
      </c>
      <c r="G5">
        <v>77.12</v>
      </c>
      <c r="H5">
        <v>3.1093568466806785</v>
      </c>
      <c r="I5">
        <v>77.12</v>
      </c>
      <c r="J5">
        <v>3.1093568466806785</v>
      </c>
      <c r="K5">
        <v>72.896666666666661</v>
      </c>
      <c r="L5">
        <v>2.2550018477449894</v>
      </c>
      <c r="M5">
        <v>1.7848087333333335E-2</v>
      </c>
      <c r="N5">
        <v>6.3820910664243267E-4</v>
      </c>
      <c r="O5">
        <v>56.076963747541306</v>
      </c>
      <c r="P5">
        <v>2.0368580345710532</v>
      </c>
      <c r="Q5">
        <v>84.311925111317905</v>
      </c>
      <c r="R5">
        <v>1.5013968372606212</v>
      </c>
    </row>
    <row r="6" spans="1:18" x14ac:dyDescent="0.2">
      <c r="A6" t="s">
        <v>13</v>
      </c>
      <c r="B6">
        <v>108967.69122666668</v>
      </c>
      <c r="C6">
        <v>2851.2217652764784</v>
      </c>
      <c r="D6">
        <v>30.9</v>
      </c>
      <c r="E6">
        <v>91.3</v>
      </c>
      <c r="F6">
        <v>0.28053520278210459</v>
      </c>
      <c r="G6">
        <v>81</v>
      </c>
      <c r="H6">
        <v>1.4862368586466936</v>
      </c>
      <c r="I6">
        <v>81</v>
      </c>
      <c r="J6">
        <v>1.4862368586466936</v>
      </c>
      <c r="K6">
        <v>75.193333333333328</v>
      </c>
      <c r="L6">
        <v>1.0997423940784183</v>
      </c>
      <c r="M6">
        <v>3.3931926333333334E-2</v>
      </c>
      <c r="N6">
        <v>1.0247909602354686E-3</v>
      </c>
      <c r="O6">
        <v>29.488429843482649</v>
      </c>
      <c r="P6">
        <v>0.87712914186192403</v>
      </c>
      <c r="Q6">
        <v>85.835635932823109</v>
      </c>
      <c r="R6">
        <v>0.71895862159947488</v>
      </c>
    </row>
    <row r="7" spans="1:18" x14ac:dyDescent="0.2">
      <c r="A7" s="10" t="s">
        <v>65</v>
      </c>
      <c r="B7" s="10">
        <v>5011.2145266666666</v>
      </c>
      <c r="C7" s="10">
        <v>177.38976271977199</v>
      </c>
      <c r="D7" s="10">
        <v>0.41</v>
      </c>
      <c r="E7" s="10">
        <v>92.163333333333341</v>
      </c>
      <c r="F7" s="10">
        <v>0.7200231477760517</v>
      </c>
      <c r="G7" s="10">
        <v>77.929999999999993</v>
      </c>
      <c r="H7" s="10">
        <v>0.64366140167016372</v>
      </c>
      <c r="I7" s="10">
        <v>77.929999999999993</v>
      </c>
      <c r="J7" s="10">
        <v>0.64366140167016372</v>
      </c>
      <c r="K7" s="10">
        <v>73.08</v>
      </c>
      <c r="L7" s="10">
        <v>0.12489995996797269</v>
      </c>
      <c r="M7" s="10">
        <v>1.3662000000000001E-2</v>
      </c>
      <c r="N7" s="10">
        <v>6.0794818858188901E-4</v>
      </c>
      <c r="O7" s="10">
        <v>73.294361567508858</v>
      </c>
      <c r="P7" s="10">
        <v>3.3253691787962931</v>
      </c>
      <c r="Q7" s="10">
        <v>84.44754564708758</v>
      </c>
      <c r="R7" s="10">
        <v>8.5342350207104525E-2</v>
      </c>
    </row>
    <row r="8" spans="1:18" x14ac:dyDescent="0.2">
      <c r="A8" t="s">
        <v>0</v>
      </c>
      <c r="B8">
        <v>14560.574966666667</v>
      </c>
      <c r="C8">
        <v>35.527345580740089</v>
      </c>
      <c r="D8">
        <v>13.39</v>
      </c>
      <c r="E8">
        <v>91.866666666666674</v>
      </c>
      <c r="F8">
        <v>0.49812983581926595</v>
      </c>
      <c r="G8">
        <v>78.61</v>
      </c>
      <c r="H8">
        <v>1.8066820417549954</v>
      </c>
      <c r="I8">
        <v>78.61</v>
      </c>
      <c r="J8">
        <v>1.8066820417549954</v>
      </c>
      <c r="K8">
        <v>73.033333333333005</v>
      </c>
      <c r="L8">
        <v>1.309363713157401</v>
      </c>
      <c r="M8">
        <v>1.56081E-2</v>
      </c>
      <c r="N8">
        <v>3.679168791996369E-4</v>
      </c>
      <c r="O8">
        <v>64.093025359218316</v>
      </c>
      <c r="P8">
        <v>1.5100558046707284</v>
      </c>
      <c r="Q8">
        <v>84.4119851817495</v>
      </c>
      <c r="R8">
        <v>0.86728831504225701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Sheet4</vt:lpstr>
      <vt:lpstr>Sheet5 (2)</vt:lpstr>
      <vt:lpstr>Sheet5</vt:lpstr>
      <vt:lpstr>Sheet3 (2)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2023-06-27T19:50:44Z</dcterms:modified>
</cp:coreProperties>
</file>